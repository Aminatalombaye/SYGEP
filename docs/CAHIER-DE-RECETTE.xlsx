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ynthèse" sheetId="2" state="visible" r:id="rId2"/>
    <sheet name="AUT" sheetId="3" state="visible" r:id="rId3"/>
    <sheet name="USR" sheetId="4" state="visible" r:id="rId4"/>
    <sheet name="REF" sheetId="5" state="visible" r:id="rId5"/>
    <sheet name="AGT" sheetId="6" state="visible" r:id="rId6"/>
    <sheet name="MAT" sheetId="7" state="visible" r:id="rId7"/>
    <sheet name="AFF" sheetId="8" state="visible" r:id="rId8"/>
    <sheet name="INV" sheetId="9" state="visible" r:id="rId9"/>
    <sheet name="STK" sheetId="10" state="visible" r:id="rId10"/>
    <sheet name="BST" sheetId="11" state="visible" r:id="rId11"/>
    <sheet name="INF" sheetId="12" state="visible" r:id="rId12"/>
    <sheet name="PRJ" sheetId="13" state="visible" r:id="rId13"/>
    <sheet name="MNT" sheetId="14" state="visible" r:id="rId14"/>
    <sheet name="PRV" sheetId="15" state="visible" r:id="rId15"/>
    <sheet name="TCH" sheetId="16" state="visible" r:id="rId16"/>
    <sheet name="RPT" sheetId="17" state="visible" r:id="rId17"/>
    <sheet name="NTF" sheetId="18" state="visible" r:id="rId18"/>
    <sheet name="DSH" sheetId="19" state="visible" r:id="rId19"/>
    <sheet name="PUB" sheetId="20" state="visible" r:id="rId20"/>
    <sheet name="SEC" sheetId="21" state="visible" r:id="rId21"/>
    <sheet name="INS" sheetId="22" state="visible" r:id="rId22"/>
    <sheet name="Anomalies" sheetId="23" state="visible" r:id="rId23"/>
    <sheet name="PV de recette" sheetId="24" state="visible" r:id="rId24"/>
  </sheets>
  <definedNames>
    <definedName name="_xlnm._FilterDatabase" localSheetId="2" hidden="1">'AUT'!$A$4:$L$14</definedName>
    <definedName name="_xlnm._FilterDatabase" localSheetId="3" hidden="1">'USR'!$A$4:$L$18</definedName>
    <definedName name="_xlnm._FilterDatabase" localSheetId="4" hidden="1">'REF'!$A$4:$L$18</definedName>
    <definedName name="_xlnm._FilterDatabase" localSheetId="5" hidden="1">'AGT'!$A$4:$L$10</definedName>
    <definedName name="_xlnm._FilterDatabase" localSheetId="6" hidden="1">'MAT'!$A$4:$L$34</definedName>
    <definedName name="_xlnm._FilterDatabase" localSheetId="7" hidden="1">'AFF'!$A$4:$L$29</definedName>
    <definedName name="_xlnm._FilterDatabase" localSheetId="8" hidden="1">'INV'!$A$4:$L$21</definedName>
    <definedName name="_xlnm._FilterDatabase" localSheetId="9" hidden="1">'STK'!$A$4:$L$27</definedName>
    <definedName name="_xlnm._FilterDatabase" localSheetId="10" hidden="1">'BST'!$A$4:$L$23</definedName>
    <definedName name="_xlnm._FilterDatabase" localSheetId="11" hidden="1">'INF'!$A$4:$L$18</definedName>
    <definedName name="_xlnm._FilterDatabase" localSheetId="12" hidden="1">'PRJ'!$A$4:$L$24</definedName>
    <definedName name="_xlnm._FilterDatabase" localSheetId="13" hidden="1">'MNT'!$A$4:$L$27</definedName>
    <definedName name="_xlnm._FilterDatabase" localSheetId="14" hidden="1">'PRV'!$A$4:$L$15</definedName>
    <definedName name="_xlnm._FilterDatabase" localSheetId="15" hidden="1">'TCH'!$A$4:$L$12</definedName>
    <definedName name="_xlnm._FilterDatabase" localSheetId="16" hidden="1">'RPT'!$A$4:$L$11</definedName>
    <definedName name="_xlnm._FilterDatabase" localSheetId="17" hidden="1">'NTF'!$A$4:$L$13</definedName>
    <definedName name="_xlnm._FilterDatabase" localSheetId="18" hidden="1">'DSH'!$A$4:$L$17</definedName>
    <definedName name="_xlnm._FilterDatabase" localSheetId="19" hidden="1">'PUB'!$A$4:$L$11</definedName>
    <definedName name="_xlnm._FilterDatabase" localSheetId="20" hidden="1">'SEC'!$A$4:$L$16</definedName>
    <definedName name="_xlnm._FilterDatabase" localSheetId="21" hidden="1">'INS'!$A$4:$L$15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9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CAHIER DE RECETTE – SYGEP</t>
        </is>
      </c>
    </row>
    <row r="2">
      <c r="A2" t="inlineStr"/>
    </row>
    <row r="3">
      <c r="A3" t="inlineStr">
        <is>
          <t>1. Une feuille par module. Une ligne par cas de test.</t>
        </is>
      </c>
    </row>
    <row r="4">
      <c r="A4" t="inlineStr">
        <is>
          <t>2. Se connecter avec le compte indiqué (mot de passe de démonstration : password), suivre les étapes, comparer au résultat attendu.</t>
        </is>
      </c>
    </row>
    <row r="5">
      <c r="A5" t="inlineStr">
        <is>
          <t>3. Choisir le résultat dans la liste (Non testé / OK / KO / Bloqué / N/A), puis renseigner date, testeur et observations.</t>
        </is>
      </c>
    </row>
    <row r="6">
      <c r="A6" t="inlineStr">
        <is>
          <t>4. La feuille « Synthèse » se met à jour automatiquement. Les KO sont à reporter dans « Anomalies ».</t>
        </is>
      </c>
    </row>
    <row r="7">
      <c r="A7" t="inlineStr">
        <is>
          <t>5. Priorités : Critique = bloquant ; Majeur ; Mineur. Acceptation : 100 % des cas critiques OK.</t>
        </is>
      </c>
    </row>
    <row r="8">
      <c r="A8" t="inlineStr">
        <is>
          <t>6. La colonne « Pré-recette auto » donne le résultat de l'exécution automatique ; elle ne remplace pas votre test.</t>
        </is>
      </c>
    </row>
    <row r="9">
      <c r="A9" t="inlineStr"/>
    </row>
    <row r="10">
      <c r="A10" s="2" t="inlineStr">
        <is>
          <t>COMPTES DE TEST</t>
        </is>
      </c>
    </row>
    <row r="11">
      <c r="A11" t="inlineStr">
        <is>
          <t>ADM  –  admin@admin.com  –  Super administrateur</t>
        </is>
      </c>
    </row>
    <row r="12">
      <c r="A12" t="inlineStr">
        <is>
          <t>DIR  –  directeur@sygep.test  –  Directeur</t>
        </is>
      </c>
    </row>
    <row r="13">
      <c r="A13" t="inlineStr">
        <is>
          <t>CPT  –  comptable@sygep.test  –  Comptable matière principal</t>
        </is>
      </c>
    </row>
    <row r="14">
      <c r="A14" t="inlineStr">
        <is>
          <t>SEC  –  secondaire@sygep.test  –  Comptable matière secondaire (CFP de Thiès)</t>
        </is>
      </c>
    </row>
    <row r="15">
      <c r="A15" t="inlineStr">
        <is>
          <t>MNT  –  maintenance@sygep.test  –  Responsable maintenance</t>
        </is>
      </c>
    </row>
    <row r="16">
      <c r="A16" t="inlineStr">
        <is>
          <t>INF  –  infrastructures@sygep.test  –  Responsable infrastructures</t>
        </is>
      </c>
    </row>
    <row r="17">
      <c r="A17" t="inlineStr">
        <is>
          <t>MAT  –  matieres@sygep.test  –  Administrateur des matières</t>
        </is>
      </c>
    </row>
    <row r="18">
      <c r="A18" t="inlineStr">
        <is>
          <t>AGT  –  agent@sygep.test  –  Agent / demandeur (CFP de Thiès)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Module</t>
        </is>
      </c>
      <c r="B1" s="3" t="inlineStr">
        <is>
          <t>Total</t>
        </is>
      </c>
      <c r="C1" s="3" t="inlineStr">
        <is>
          <t>OK</t>
        </is>
      </c>
      <c r="D1" s="3" t="inlineStr">
        <is>
          <t>KO</t>
        </is>
      </c>
      <c r="E1" s="3" t="inlineStr">
        <is>
          <t>Bloqué</t>
        </is>
      </c>
      <c r="F1" s="3" t="inlineStr">
        <is>
          <t>N/A</t>
        </is>
      </c>
      <c r="G1" s="3" t="inlineStr">
        <is>
          <t>Non testé</t>
        </is>
      </c>
      <c r="H1" s="3" t="inlineStr">
        <is>
          <t>% OK</t>
        </is>
      </c>
      <c r="I1" s="3" t="inlineStr">
        <is>
          <t>Critiques non OK</t>
        </is>
      </c>
    </row>
    <row r="2">
      <c r="A2" t="inlineStr">
        <is>
          <t>AUT – Connexion, comptes et sécurité d'accès</t>
        </is>
      </c>
      <c r="B2">
        <f>COUNTA('AUT'!$A$5:$A$14)</f>
        <v/>
      </c>
      <c r="C2">
        <f>COUNTIF('AUT'!$I$5:$I$14,"OK")</f>
        <v/>
      </c>
      <c r="D2">
        <f>COUNTIF('AUT'!$I$5:$I$14,"KO")</f>
        <v/>
      </c>
      <c r="E2">
        <f>COUNTIF('AUT'!$I$5:$I$14,"Bloqué")</f>
        <v/>
      </c>
      <c r="F2">
        <f>COUNTIF('AUT'!$I$5:$I$14,"N/A")</f>
        <v/>
      </c>
      <c r="G2">
        <f>COUNTIF('AUT'!$I$5:$I$14,"Non testé")</f>
        <v/>
      </c>
      <c r="H2" s="4">
        <f>IF(B2=0,0,C2/B2)</f>
        <v/>
      </c>
      <c r="I2">
        <f>COUNTIFS('AUT'!$G$5:$G$14,"Critique",'AUT'!$I$5:$I$14,"&lt;&gt;OK",'AUT'!$I$5:$I$14,"&lt;&gt;N/A")</f>
        <v/>
      </c>
    </row>
    <row r="3">
      <c r="A3" t="inlineStr">
        <is>
          <t>USR – Utilisateurs, rôles et droits</t>
        </is>
      </c>
      <c r="B3">
        <f>COUNTA('USR'!$A$5:$A$18)</f>
        <v/>
      </c>
      <c r="C3">
        <f>COUNTIF('USR'!$I$5:$I$18,"OK")</f>
        <v/>
      </c>
      <c r="D3">
        <f>COUNTIF('USR'!$I$5:$I$18,"KO")</f>
        <v/>
      </c>
      <c r="E3">
        <f>COUNTIF('USR'!$I$5:$I$18,"Bloqué")</f>
        <v/>
      </c>
      <c r="F3">
        <f>COUNTIF('USR'!$I$5:$I$18,"N/A")</f>
        <v/>
      </c>
      <c r="G3">
        <f>COUNTIF('USR'!$I$5:$I$18,"Non testé")</f>
        <v/>
      </c>
      <c r="H3" s="4">
        <f>IF(B3=0,0,C3/B3)</f>
        <v/>
      </c>
      <c r="I3">
        <f>COUNTIFS('USR'!$G$5:$G$18,"Critique",'USR'!$I$5:$I$18,"&lt;&gt;OK",'USR'!$I$5:$I$18,"&lt;&gt;N/A")</f>
        <v/>
      </c>
    </row>
    <row r="4">
      <c r="A4" t="inlineStr">
        <is>
          <t>REF – Référentiels (services, catégories, emplacements, fournisseurs, bons)</t>
        </is>
      </c>
      <c r="B4">
        <f>COUNTA('REF'!$A$5:$A$18)</f>
        <v/>
      </c>
      <c r="C4">
        <f>COUNTIF('REF'!$I$5:$I$18,"OK")</f>
        <v/>
      </c>
      <c r="D4">
        <f>COUNTIF('REF'!$I$5:$I$18,"KO")</f>
        <v/>
      </c>
      <c r="E4">
        <f>COUNTIF('REF'!$I$5:$I$18,"Bloqué")</f>
        <v/>
      </c>
      <c r="F4">
        <f>COUNTIF('REF'!$I$5:$I$18,"N/A")</f>
        <v/>
      </c>
      <c r="G4">
        <f>COUNTIF('REF'!$I$5:$I$18,"Non testé")</f>
        <v/>
      </c>
      <c r="H4" s="4">
        <f>IF(B4=0,0,C4/B4)</f>
        <v/>
      </c>
      <c r="I4">
        <f>COUNTIFS('REF'!$G$5:$G$18,"Critique",'REF'!$I$5:$I$18,"&lt;&gt;OK",'REF'!$I$5:$I$18,"&lt;&gt;N/A")</f>
        <v/>
      </c>
    </row>
    <row r="5">
      <c r="A5" t="inlineStr">
        <is>
          <t>AGT – Agents</t>
        </is>
      </c>
      <c r="B5">
        <f>COUNTA('AGT'!$A$5:$A$10)</f>
        <v/>
      </c>
      <c r="C5">
        <f>COUNTIF('AGT'!$I$5:$I$10,"OK")</f>
        <v/>
      </c>
      <c r="D5">
        <f>COUNTIF('AGT'!$I$5:$I$10,"KO")</f>
        <v/>
      </c>
      <c r="E5">
        <f>COUNTIF('AGT'!$I$5:$I$10,"Bloqué")</f>
        <v/>
      </c>
      <c r="F5">
        <f>COUNTIF('AGT'!$I$5:$I$10,"N/A")</f>
        <v/>
      </c>
      <c r="G5">
        <f>COUNTIF('AGT'!$I$5:$I$10,"Non testé")</f>
        <v/>
      </c>
      <c r="H5" s="4">
        <f>IF(B5=0,0,C5/B5)</f>
        <v/>
      </c>
      <c r="I5">
        <f>COUNTIFS('AGT'!$G$5:$G$10,"Critique",'AGT'!$I$5:$I$10,"&lt;&gt;OK",'AGT'!$I$5:$I$10,"&lt;&gt;N/A")</f>
        <v/>
      </c>
    </row>
    <row r="6">
      <c r="A6" t="inlineStr">
        <is>
          <t>MAT – Matières, étiquettes QR et scanner</t>
        </is>
      </c>
      <c r="B6">
        <f>COUNTA('MAT'!$A$5:$A$34)</f>
        <v/>
      </c>
      <c r="C6">
        <f>COUNTIF('MAT'!$I$5:$I$34,"OK")</f>
        <v/>
      </c>
      <c r="D6">
        <f>COUNTIF('MAT'!$I$5:$I$34,"KO")</f>
        <v/>
      </c>
      <c r="E6">
        <f>COUNTIF('MAT'!$I$5:$I$34,"Bloqué")</f>
        <v/>
      </c>
      <c r="F6">
        <f>COUNTIF('MAT'!$I$5:$I$34,"N/A")</f>
        <v/>
      </c>
      <c r="G6">
        <f>COUNTIF('MAT'!$I$5:$I$34,"Non testé")</f>
        <v/>
      </c>
      <c r="H6" s="4">
        <f>IF(B6=0,0,C6/B6)</f>
        <v/>
      </c>
      <c r="I6">
        <f>COUNTIFS('MAT'!$G$5:$G$34,"Critique",'MAT'!$I$5:$I$34,"&lt;&gt;OK",'MAT'!$I$5:$I$34,"&lt;&gt;N/A")</f>
        <v/>
      </c>
    </row>
    <row r="7">
      <c r="A7" t="inlineStr">
        <is>
          <t>AFF – Affectations, restitutions et transferts</t>
        </is>
      </c>
      <c r="B7">
        <f>COUNTA('AFF'!$A$5:$A$29)</f>
        <v/>
      </c>
      <c r="C7">
        <f>COUNTIF('AFF'!$I$5:$I$29,"OK")</f>
        <v/>
      </c>
      <c r="D7">
        <f>COUNTIF('AFF'!$I$5:$I$29,"KO")</f>
        <v/>
      </c>
      <c r="E7">
        <f>COUNTIF('AFF'!$I$5:$I$29,"Bloqué")</f>
        <v/>
      </c>
      <c r="F7">
        <f>COUNTIF('AFF'!$I$5:$I$29,"N/A")</f>
        <v/>
      </c>
      <c r="G7">
        <f>COUNTIF('AFF'!$I$5:$I$29,"Non testé")</f>
        <v/>
      </c>
      <c r="H7" s="4">
        <f>IF(B7=0,0,C7/B7)</f>
        <v/>
      </c>
      <c r="I7">
        <f>COUNTIFS('AFF'!$G$5:$G$29,"Critique",'AFF'!$I$5:$I$29,"&lt;&gt;OK",'AFF'!$I$5:$I$29,"&lt;&gt;N/A")</f>
        <v/>
      </c>
    </row>
    <row r="8">
      <c r="A8" t="inlineStr">
        <is>
          <t>INV – Inventaires</t>
        </is>
      </c>
      <c r="B8">
        <f>COUNTA('INV'!$A$5:$A$21)</f>
        <v/>
      </c>
      <c r="C8">
        <f>COUNTIF('INV'!$I$5:$I$21,"OK")</f>
        <v/>
      </c>
      <c r="D8">
        <f>COUNTIF('INV'!$I$5:$I$21,"KO")</f>
        <v/>
      </c>
      <c r="E8">
        <f>COUNTIF('INV'!$I$5:$I$21,"Bloqué")</f>
        <v/>
      </c>
      <c r="F8">
        <f>COUNTIF('INV'!$I$5:$I$21,"N/A")</f>
        <v/>
      </c>
      <c r="G8">
        <f>COUNTIF('INV'!$I$5:$I$21,"Non testé")</f>
        <v/>
      </c>
      <c r="H8" s="4">
        <f>IF(B8=0,0,C8/B8)</f>
        <v/>
      </c>
      <c r="I8">
        <f>COUNTIFS('INV'!$G$5:$G$21,"Critique",'INV'!$I$5:$I$21,"&lt;&gt;OK",'INV'!$I$5:$I$21,"&lt;&gt;N/A")</f>
        <v/>
      </c>
    </row>
    <row r="9">
      <c r="A9" t="inlineStr">
        <is>
          <t>STK – Stock des consommables : articles et mouvements</t>
        </is>
      </c>
      <c r="B9">
        <f>COUNTA('STK'!$A$5:$A$27)</f>
        <v/>
      </c>
      <c r="C9">
        <f>COUNTIF('STK'!$I$5:$I$27,"OK")</f>
        <v/>
      </c>
      <c r="D9">
        <f>COUNTIF('STK'!$I$5:$I$27,"KO")</f>
        <v/>
      </c>
      <c r="E9">
        <f>COUNTIF('STK'!$I$5:$I$27,"Bloqué")</f>
        <v/>
      </c>
      <c r="F9">
        <f>COUNTIF('STK'!$I$5:$I$27,"N/A")</f>
        <v/>
      </c>
      <c r="G9">
        <f>COUNTIF('STK'!$I$5:$I$27,"Non testé")</f>
        <v/>
      </c>
      <c r="H9" s="4">
        <f>IF(B9=0,0,C9/B9)</f>
        <v/>
      </c>
      <c r="I9">
        <f>COUNTIFS('STK'!$G$5:$G$27,"Critique",'STK'!$I$5:$I$27,"&lt;&gt;OK",'STK'!$I$5:$I$27,"&lt;&gt;N/A")</f>
        <v/>
      </c>
    </row>
    <row r="10">
      <c r="A10" t="inlineStr">
        <is>
          <t>BST – Bons d'entrée et de sortie du stock</t>
        </is>
      </c>
      <c r="B10">
        <f>COUNTA('BST'!$A$5:$A$23)</f>
        <v/>
      </c>
      <c r="C10">
        <f>COUNTIF('BST'!$I$5:$I$23,"OK")</f>
        <v/>
      </c>
      <c r="D10">
        <f>COUNTIF('BST'!$I$5:$I$23,"KO")</f>
        <v/>
      </c>
      <c r="E10">
        <f>COUNTIF('BST'!$I$5:$I$23,"Bloqué")</f>
        <v/>
      </c>
      <c r="F10">
        <f>COUNTIF('BST'!$I$5:$I$23,"N/A")</f>
        <v/>
      </c>
      <c r="G10">
        <f>COUNTIF('BST'!$I$5:$I$23,"Non testé")</f>
        <v/>
      </c>
      <c r="H10" s="4">
        <f>IF(B10=0,0,C10/B10)</f>
        <v/>
      </c>
      <c r="I10">
        <f>COUNTIFS('BST'!$G$5:$G$23,"Critique",'BST'!$I$5:$I$23,"&lt;&gt;OK",'BST'!$I$5:$I$23,"&lt;&gt;N/A")</f>
        <v/>
      </c>
    </row>
    <row r="11">
      <c r="A11" t="inlineStr">
        <is>
          <t>INF – Infrastructures</t>
        </is>
      </c>
      <c r="B11">
        <f>COUNTA('INF'!$A$5:$A$18)</f>
        <v/>
      </c>
      <c r="C11">
        <f>COUNTIF('INF'!$I$5:$I$18,"OK")</f>
        <v/>
      </c>
      <c r="D11">
        <f>COUNTIF('INF'!$I$5:$I$18,"KO")</f>
        <v/>
      </c>
      <c r="E11">
        <f>COUNTIF('INF'!$I$5:$I$18,"Bloqué")</f>
        <v/>
      </c>
      <c r="F11">
        <f>COUNTIF('INF'!$I$5:$I$18,"N/A")</f>
        <v/>
      </c>
      <c r="G11">
        <f>COUNTIF('INF'!$I$5:$I$18,"Non testé")</f>
        <v/>
      </c>
      <c r="H11" s="4">
        <f>IF(B11=0,0,C11/B11)</f>
        <v/>
      </c>
      <c r="I11">
        <f>COUNTIFS('INF'!$G$5:$G$18,"Critique",'INF'!$I$5:$I$18,"&lt;&gt;OK",'INF'!$I$5:$I$18,"&lt;&gt;N/A")</f>
        <v/>
      </c>
    </row>
    <row r="12">
      <c r="A12" t="inlineStr">
        <is>
          <t>PRJ – Projets, jalons, chefs de projet, intervenants et rapports</t>
        </is>
      </c>
      <c r="B12">
        <f>COUNTA('PRJ'!$A$5:$A$24)</f>
        <v/>
      </c>
      <c r="C12">
        <f>COUNTIF('PRJ'!$I$5:$I$24,"OK")</f>
        <v/>
      </c>
      <c r="D12">
        <f>COUNTIF('PRJ'!$I$5:$I$24,"KO")</f>
        <v/>
      </c>
      <c r="E12">
        <f>COUNTIF('PRJ'!$I$5:$I$24,"Bloqué")</f>
        <v/>
      </c>
      <c r="F12">
        <f>COUNTIF('PRJ'!$I$5:$I$24,"N/A")</f>
        <v/>
      </c>
      <c r="G12">
        <f>COUNTIF('PRJ'!$I$5:$I$24,"Non testé")</f>
        <v/>
      </c>
      <c r="H12" s="4">
        <f>IF(B12=0,0,C12/B12)</f>
        <v/>
      </c>
      <c r="I12">
        <f>COUNTIFS('PRJ'!$G$5:$G$24,"Critique",'PRJ'!$I$5:$I$24,"&lt;&gt;OK",'PRJ'!$I$5:$I$24,"&lt;&gt;N/A")</f>
        <v/>
      </c>
    </row>
    <row r="13">
      <c r="A13" t="inlineStr">
        <is>
          <t>MNT – Demandes de maintenance (circuit complet)</t>
        </is>
      </c>
      <c r="B13">
        <f>COUNTA('MNT'!$A$5:$A$27)</f>
        <v/>
      </c>
      <c r="C13">
        <f>COUNTIF('MNT'!$I$5:$I$27,"OK")</f>
        <v/>
      </c>
      <c r="D13">
        <f>COUNTIF('MNT'!$I$5:$I$27,"KO")</f>
        <v/>
      </c>
      <c r="E13">
        <f>COUNTIF('MNT'!$I$5:$I$27,"Bloqué")</f>
        <v/>
      </c>
      <c r="F13">
        <f>COUNTIF('MNT'!$I$5:$I$27,"N/A")</f>
        <v/>
      </c>
      <c r="G13">
        <f>COUNTIF('MNT'!$I$5:$I$27,"Non testé")</f>
        <v/>
      </c>
      <c r="H13" s="4">
        <f>IF(B13=0,0,C13/B13)</f>
        <v/>
      </c>
      <c r="I13">
        <f>COUNTIFS('MNT'!$G$5:$G$27,"Critique",'MNT'!$I$5:$I$27,"&lt;&gt;OK",'MNT'!$I$5:$I$27,"&lt;&gt;N/A")</f>
        <v/>
      </c>
    </row>
    <row r="14">
      <c r="A14" t="inlineStr">
        <is>
          <t>PRV – Maintenance préventive</t>
        </is>
      </c>
      <c r="B14">
        <f>COUNTA('PRV'!$A$5:$A$15)</f>
        <v/>
      </c>
      <c r="C14">
        <f>COUNTIF('PRV'!$I$5:$I$15,"OK")</f>
        <v/>
      </c>
      <c r="D14">
        <f>COUNTIF('PRV'!$I$5:$I$15,"KO")</f>
        <v/>
      </c>
      <c r="E14">
        <f>COUNTIF('PRV'!$I$5:$I$15,"Bloqué")</f>
        <v/>
      </c>
      <c r="F14">
        <f>COUNTIF('PRV'!$I$5:$I$15,"N/A")</f>
        <v/>
      </c>
      <c r="G14">
        <f>COUNTIF('PRV'!$I$5:$I$15,"Non testé")</f>
        <v/>
      </c>
      <c r="H14" s="4">
        <f>IF(B14=0,0,C14/B14)</f>
        <v/>
      </c>
      <c r="I14">
        <f>COUNTIFS('PRV'!$G$5:$G$15,"Critique",'PRV'!$I$5:$I$15,"&lt;&gt;OK",'PRV'!$I$5:$I$15,"&lt;&gt;N/A")</f>
        <v/>
      </c>
    </row>
    <row r="15">
      <c r="A15" t="inlineStr">
        <is>
          <t>TCH – Tâches, étiquettes et calendrier</t>
        </is>
      </c>
      <c r="B15">
        <f>COUNTA('TCH'!$A$5:$A$12)</f>
        <v/>
      </c>
      <c r="C15">
        <f>COUNTIF('TCH'!$I$5:$I$12,"OK")</f>
        <v/>
      </c>
      <c r="D15">
        <f>COUNTIF('TCH'!$I$5:$I$12,"KO")</f>
        <v/>
      </c>
      <c r="E15">
        <f>COUNTIF('TCH'!$I$5:$I$12,"Bloqué")</f>
        <v/>
      </c>
      <c r="F15">
        <f>COUNTIF('TCH'!$I$5:$I$12,"N/A")</f>
        <v/>
      </c>
      <c r="G15">
        <f>COUNTIF('TCH'!$I$5:$I$12,"Non testé")</f>
        <v/>
      </c>
      <c r="H15" s="4">
        <f>IF(B15=0,0,C15/B15)</f>
        <v/>
      </c>
      <c r="I15">
        <f>COUNTIFS('TCH'!$G$5:$G$12,"Critique",'TCH'!$I$5:$I$12,"&lt;&gt;OK",'TCH'!$I$5:$I$12,"&lt;&gt;N/A")</f>
        <v/>
      </c>
    </row>
    <row r="16">
      <c r="A16" t="inlineStr">
        <is>
          <t>RPT – Rapports périodiques</t>
        </is>
      </c>
      <c r="B16">
        <f>COUNTA('RPT'!$A$5:$A$11)</f>
        <v/>
      </c>
      <c r="C16">
        <f>COUNTIF('RPT'!$I$5:$I$11,"OK")</f>
        <v/>
      </c>
      <c r="D16">
        <f>COUNTIF('RPT'!$I$5:$I$11,"KO")</f>
        <v/>
      </c>
      <c r="E16">
        <f>COUNTIF('RPT'!$I$5:$I$11,"Bloqué")</f>
        <v/>
      </c>
      <c r="F16">
        <f>COUNTIF('RPT'!$I$5:$I$11,"N/A")</f>
        <v/>
      </c>
      <c r="G16">
        <f>COUNTIF('RPT'!$I$5:$I$11,"Non testé")</f>
        <v/>
      </c>
      <c r="H16" s="4">
        <f>IF(B16=0,0,C16/B16)</f>
        <v/>
      </c>
      <c r="I16">
        <f>COUNTIFS('RPT'!$G$5:$G$11,"Critique",'RPT'!$I$5:$I$11,"&lt;&gt;OK",'RPT'!$I$5:$I$11,"&lt;&gt;N/A")</f>
        <v/>
      </c>
    </row>
    <row r="17">
      <c r="A17" t="inlineStr">
        <is>
          <t>NTF – Notifications</t>
        </is>
      </c>
      <c r="B17">
        <f>COUNTA('NTF'!$A$5:$A$13)</f>
        <v/>
      </c>
      <c r="C17">
        <f>COUNTIF('NTF'!$I$5:$I$13,"OK")</f>
        <v/>
      </c>
      <c r="D17">
        <f>COUNTIF('NTF'!$I$5:$I$13,"KO")</f>
        <v/>
      </c>
      <c r="E17">
        <f>COUNTIF('NTF'!$I$5:$I$13,"Bloqué")</f>
        <v/>
      </c>
      <c r="F17">
        <f>COUNTIF('NTF'!$I$5:$I$13,"N/A")</f>
        <v/>
      </c>
      <c r="G17">
        <f>COUNTIF('NTF'!$I$5:$I$13,"Non testé")</f>
        <v/>
      </c>
      <c r="H17" s="4">
        <f>IF(B17=0,0,C17/B17)</f>
        <v/>
      </c>
      <c r="I17">
        <f>COUNTIFS('NTF'!$G$5:$G$13,"Critique",'NTF'!$I$5:$I$13,"&lt;&gt;OK",'NTF'!$I$5:$I$13,"&lt;&gt;N/A")</f>
        <v/>
      </c>
    </row>
    <row r="18">
      <c r="A18" t="inlineStr">
        <is>
          <t>DSH – Tableau de bord, listes et ergonomie</t>
        </is>
      </c>
      <c r="B18">
        <f>COUNTA('DSH'!$A$5:$A$17)</f>
        <v/>
      </c>
      <c r="C18">
        <f>COUNTIF('DSH'!$I$5:$I$17,"OK")</f>
        <v/>
      </c>
      <c r="D18">
        <f>COUNTIF('DSH'!$I$5:$I$17,"KO")</f>
        <v/>
      </c>
      <c r="E18">
        <f>COUNTIF('DSH'!$I$5:$I$17,"Bloqué")</f>
        <v/>
      </c>
      <c r="F18">
        <f>COUNTIF('DSH'!$I$5:$I$17,"N/A")</f>
        <v/>
      </c>
      <c r="G18">
        <f>COUNTIF('DSH'!$I$5:$I$17,"Non testé")</f>
        <v/>
      </c>
      <c r="H18" s="4">
        <f>IF(B18=0,0,C18/B18)</f>
        <v/>
      </c>
      <c r="I18">
        <f>COUNTIFS('DSH'!$G$5:$G$17,"Critique",'DSH'!$I$5:$I$17,"&lt;&gt;OK",'DSH'!$I$5:$I$17,"&lt;&gt;N/A")</f>
        <v/>
      </c>
    </row>
    <row r="19">
      <c r="A19" t="inlineStr">
        <is>
          <t>PUB – Site public et page Contact</t>
        </is>
      </c>
      <c r="B19">
        <f>COUNTA('PUB'!$A$5:$A$11)</f>
        <v/>
      </c>
      <c r="C19">
        <f>COUNTIF('PUB'!$I$5:$I$11,"OK")</f>
        <v/>
      </c>
      <c r="D19">
        <f>COUNTIF('PUB'!$I$5:$I$11,"KO")</f>
        <v/>
      </c>
      <c r="E19">
        <f>COUNTIF('PUB'!$I$5:$I$11,"Bloqué")</f>
        <v/>
      </c>
      <c r="F19">
        <f>COUNTIF('PUB'!$I$5:$I$11,"N/A")</f>
        <v/>
      </c>
      <c r="G19">
        <f>COUNTIF('PUB'!$I$5:$I$11,"Non testé")</f>
        <v/>
      </c>
      <c r="H19" s="4">
        <f>IF(B19=0,0,C19/B19)</f>
        <v/>
      </c>
      <c r="I19">
        <f>COUNTIFS('PUB'!$G$5:$G$11,"Critique",'PUB'!$I$5:$I$11,"&lt;&gt;OK",'PUB'!$I$5:$I$11,"&lt;&gt;N/A")</f>
        <v/>
      </c>
    </row>
    <row r="20">
      <c r="A20" t="inlineStr">
        <is>
          <t>SEC – Droits et isolation des données</t>
        </is>
      </c>
      <c r="B20">
        <f>COUNTA('SEC'!$A$5:$A$16)</f>
        <v/>
      </c>
      <c r="C20">
        <f>COUNTIF('SEC'!$I$5:$I$16,"OK")</f>
        <v/>
      </c>
      <c r="D20">
        <f>COUNTIF('SEC'!$I$5:$I$16,"KO")</f>
        <v/>
      </c>
      <c r="E20">
        <f>COUNTIF('SEC'!$I$5:$I$16,"Bloqué")</f>
        <v/>
      </c>
      <c r="F20">
        <f>COUNTIF('SEC'!$I$5:$I$16,"N/A")</f>
        <v/>
      </c>
      <c r="G20">
        <f>COUNTIF('SEC'!$I$5:$I$16,"Non testé")</f>
        <v/>
      </c>
      <c r="H20" s="4">
        <f>IF(B20=0,0,C20/B20)</f>
        <v/>
      </c>
      <c r="I20">
        <f>COUNTIFS('SEC'!$G$5:$G$16,"Critique",'SEC'!$I$5:$I$16,"&lt;&gt;OK",'SEC'!$I$5:$I$16,"&lt;&gt;N/A")</f>
        <v/>
      </c>
    </row>
    <row r="21">
      <c r="A21" t="inlineStr">
        <is>
          <t>INS – Installation et exploitation</t>
        </is>
      </c>
      <c r="B21">
        <f>COUNTA('INS'!$A$5:$A$15)</f>
        <v/>
      </c>
      <c r="C21">
        <f>COUNTIF('INS'!$I$5:$I$15,"OK")</f>
        <v/>
      </c>
      <c r="D21">
        <f>COUNTIF('INS'!$I$5:$I$15,"KO")</f>
        <v/>
      </c>
      <c r="E21">
        <f>COUNTIF('INS'!$I$5:$I$15,"Bloqué")</f>
        <v/>
      </c>
      <c r="F21">
        <f>COUNTIF('INS'!$I$5:$I$15,"N/A")</f>
        <v/>
      </c>
      <c r="G21">
        <f>COUNTIF('INS'!$I$5:$I$15,"Non testé")</f>
        <v/>
      </c>
      <c r="H21" s="4">
        <f>IF(B21=0,0,C21/B21)</f>
        <v/>
      </c>
      <c r="I21">
        <f>COUNTIFS('INS'!$G$5:$G$15,"Critique",'INS'!$I$5:$I$15,"&lt;&gt;OK",'INS'!$I$5:$I$15,"&lt;&gt;N/A")</f>
        <v/>
      </c>
    </row>
    <row r="22">
      <c r="A22" s="2" t="inlineStr">
        <is>
          <t>TOTAL</t>
        </is>
      </c>
      <c r="B22" s="2">
        <f>SUM(B2:B21)</f>
        <v/>
      </c>
      <c r="C22" s="2">
        <f>SUM(C2:C21)</f>
        <v/>
      </c>
      <c r="D22" s="2">
        <f>SUM(D2:D21)</f>
        <v/>
      </c>
      <c r="E22" s="2">
        <f>SUM(E2:E21)</f>
        <v/>
      </c>
      <c r="F22" s="2">
        <f>SUM(F2:F21)</f>
        <v/>
      </c>
      <c r="G22" s="2">
        <f>SUM(G2:G21)</f>
        <v/>
      </c>
      <c r="H22" s="4">
        <f>IF(B22=0,0,C22/B22)</f>
        <v/>
      </c>
      <c r="I22">
        <f>SUM(I2:I21)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AUT – Connexion, comptes et sécurité d'accès</t>
        </is>
      </c>
    </row>
    <row r="2">
      <c r="A2" t="inlineStr">
        <is>
          <t>Vérifier qui peut entrer, avec quels droits, et que l'accès est correctement protégé.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AUT-01</t>
        </is>
      </c>
      <c r="B5" s="7" t="inlineStr">
        <is>
          <t>Connexion réussie</t>
        </is>
      </c>
      <c r="C5" s="7" t="inlineStr">
        <is>
          <t>ADM (admin@admin.com)</t>
        </is>
      </c>
      <c r="D5" s="7" t="inlineStr">
        <is>
          <t>Compte actif et approuvé</t>
        </is>
      </c>
      <c r="E5" s="7" t="inlineStr">
        <is>
          <t>1. Ouvrir /login
2. Saisir admin@admin.com et le mot de passe
3. Valider</t>
        </is>
      </c>
      <c r="F5" s="7" t="inlineStr">
        <is>
          <t>Le tableau de bord s'affiche. Le nom « Admin » apparaît en haut à droite.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AUT-02</t>
        </is>
      </c>
      <c r="B6" s="7" t="inlineStr">
        <is>
          <t>Mot de passe erroné</t>
        </is>
      </c>
      <c r="C6" s="7" t="inlineStr">
        <is>
          <t>ADM (admin@admin.com)</t>
        </is>
      </c>
      <c r="D6" s="7" t="inlineStr">
        <is>
          <t>—</t>
        </is>
      </c>
      <c r="E6" s="7" t="inlineStr">
        <is>
          <t>1. Ouvrir /login
2. Saisir un bon e-mail et un mauvais mot de passe
3. Valider</t>
        </is>
      </c>
      <c r="F6" s="7" t="inlineStr">
        <is>
          <t>Un message d'erreur s'affiche ; l'utilisateur reste sur la page de connexion.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AUT-03</t>
        </is>
      </c>
      <c r="B7" s="7" t="inlineStr">
        <is>
          <t>Compte non approuvé refusé</t>
        </is>
      </c>
      <c r="C7" s="7" t="inlineStr">
        <is>
          <t>ADM (admin@admin.com)</t>
        </is>
      </c>
      <c r="D7" s="7" t="inlineStr">
        <is>
          <t>Un utilisateur créé SANS cocher « Approuvé »</t>
        </is>
      </c>
      <c r="E7" s="7" t="inlineStr">
        <is>
          <t>1. Se connecter avec ce compte</t>
        </is>
      </c>
      <c r="F7" s="7" t="inlineStr">
        <is>
          <t>La connexion est refusée avec un message indiquant que le compte doit être approuvé par un administrateur.</t>
        </is>
      </c>
      <c r="G7" s="7" t="inlineStr">
        <is>
          <t>Critique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AUT-04</t>
        </is>
      </c>
      <c r="B8" s="7" t="inlineStr">
        <is>
          <t>Inscription libre</t>
        </is>
      </c>
      <c r="C8" s="7" t="inlineStr">
        <is>
          <t>—</t>
        </is>
      </c>
      <c r="D8" s="7" t="inlineStr">
        <is>
          <t>Page /register accessible</t>
        </is>
      </c>
      <c r="E8" s="7" t="inlineStr">
        <is>
          <t>1. Ouvrir /register
2. Créer un compte avec un nouvel e-mail
3. Tenter de se connecter avec</t>
        </is>
      </c>
      <c r="F8" s="7" t="inlineStr">
        <is>
          <t>Le compte est créé mais ne peut pas se connecter (non approuvé). Dans Utilisateurs, il porte le rôle « User ».</t>
        </is>
      </c>
      <c r="G8" s="7" t="inlineStr">
        <is>
          <t>Critique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AUT-05</t>
        </is>
      </c>
      <c r="B9" s="7" t="inlineStr">
        <is>
          <t>Approuver un compte inscrit</t>
        </is>
      </c>
      <c r="C9" s="7" t="inlineStr">
        <is>
          <t>ADM (admin@admin.com)</t>
        </is>
      </c>
      <c r="D9" s="7" t="inlineStr">
        <is>
          <t>Compte créé à l'étape AUT-04</t>
        </is>
      </c>
      <c r="E9" s="7" t="inlineStr">
        <is>
          <t>1. Utilisateurs &gt; modifier le compte
2. Cocher « Approuvé » et enregistrer
3. Se connecter avec ce compte</t>
        </is>
      </c>
      <c r="F9" s="7" t="inlineStr">
        <is>
          <t>La connexion réussit. Le menu ne montre presque aucun module (droits très limités du rôle « User »).</t>
        </is>
      </c>
      <c r="G9" s="7" t="inlineStr">
        <is>
          <t>Majeur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AUT-06</t>
        </is>
      </c>
      <c r="B10" s="7" t="inlineStr">
        <is>
          <t>Déconnexion</t>
        </is>
      </c>
      <c r="C10" s="7" t="inlineStr">
        <is>
          <t>ADM (admin@admin.com)</t>
        </is>
      </c>
      <c r="D10" s="7" t="inlineStr">
        <is>
          <t>Connecté</t>
        </is>
      </c>
      <c r="E10" s="7" t="inlineStr">
        <is>
          <t>1. Cliquer « Déconnexion » en bas du menu
2. Confirmer « Se déconnecter »</t>
        </is>
      </c>
      <c r="F10" s="7" t="inlineStr">
        <is>
          <t>Retour à la page de connexion. Le bouton Précédent du navigateur ne rouvre pas l'espace de gestion.</t>
        </is>
      </c>
      <c r="G10" s="7" t="inlineStr">
        <is>
          <t>Critique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AUT-07</t>
        </is>
      </c>
      <c r="B11" s="7" t="inlineStr">
        <is>
          <t>Page protégée sans connexion</t>
        </is>
      </c>
      <c r="C11" s="7" t="inlineStr">
        <is>
          <t>—</t>
        </is>
      </c>
      <c r="D11" s="7" t="inlineStr">
        <is>
          <t>Déconnecté</t>
        </is>
      </c>
      <c r="E11" s="7" t="inlineStr">
        <is>
          <t>1. Saisir directement l'adresse /admin/assets</t>
        </is>
      </c>
      <c r="F11" s="7" t="inlineStr">
        <is>
          <t>Redirection vers la page de connexion.</t>
        </is>
      </c>
      <c r="G11" s="7" t="inlineStr">
        <is>
          <t>Critique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AUT-08</t>
        </is>
      </c>
      <c r="B12" s="7" t="inlineStr">
        <is>
          <t>Changer son mot de passe</t>
        </is>
      </c>
      <c r="C12" s="7" t="inlineStr">
        <is>
          <t>ADM (admin@admin.com)</t>
        </is>
      </c>
      <c r="D12" s="7" t="inlineStr">
        <is>
          <t>Droit « profil » présent</t>
        </is>
      </c>
      <c r="E12" s="7" t="inlineStr">
        <is>
          <t>1. Menu du compte &gt; Profil
2. Saisir l'ancien puis le nouveau mot de passe
3. Se déconnecter et se reconnecter avec le nouveau</t>
        </is>
      </c>
      <c r="F12" s="7" t="inlineStr">
        <is>
          <t>Le nouveau mot de passe est accepté ; l'ancien ne fonctionne plus.</t>
        </is>
      </c>
      <c r="G12" s="7" t="inlineStr">
        <is>
          <t>Majeur</t>
        </is>
      </c>
      <c r="H12" s="7" t="inlineStr">
        <is>
          <t>Manuel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AUT-09</t>
        </is>
      </c>
      <c r="B13" s="7" t="inlineStr">
        <is>
          <t>Mot de passe oublié</t>
        </is>
      </c>
      <c r="C13" s="7" t="inlineStr">
        <is>
          <t>—</t>
        </is>
      </c>
      <c r="D13" s="7" t="inlineStr">
        <is>
          <t>Courrier (MAIL_*) configuré</t>
        </is>
      </c>
      <c r="E13" s="7" t="inlineStr">
        <is>
          <t>1. Sur /login, cliquer « mot de passe oublié »
2. Saisir un e-mail existant</t>
        </is>
      </c>
      <c r="F13" s="7" t="inlineStr">
        <is>
          <t>Un message de confirmation s'affiche et un courriel de réinitialisation est envoyé.</t>
        </is>
      </c>
      <c r="G13" s="7" t="inlineStr">
        <is>
          <t>Mineur</t>
        </is>
      </c>
      <c r="H13" s="7" t="inlineStr">
        <is>
          <t>Manuel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AUT-10</t>
        </is>
      </c>
      <c r="B14" s="7" t="inlineStr">
        <is>
          <t>Session de longue durée</t>
        </is>
      </c>
      <c r="C14" s="7" t="inlineStr">
        <is>
          <t>ADM (admin@admin.com)</t>
        </is>
      </c>
      <c r="D14" s="7" t="inlineStr">
        <is>
          <t>Connecté</t>
        </is>
      </c>
      <c r="E14" s="7" t="inlineStr">
        <is>
          <t>1. Laisser la page ouverte au-delà de la durée de session (120 min par défaut)
2. Soumettre un formulaire</t>
        </is>
      </c>
      <c r="F14" s="7" t="inlineStr">
        <is>
          <t>Un message de page expirée (419) s'affiche proprement ; recharger la page permet de continuer.</t>
        </is>
      </c>
      <c r="G14" s="7" t="inlineStr">
        <is>
          <t>Mineur</t>
        </is>
      </c>
      <c r="H14" s="7" t="inlineStr">
        <is>
          <t>Manuel</t>
        </is>
      </c>
      <c r="I14" s="7" t="inlineStr">
        <is>
          <t>Non testé</t>
        </is>
      </c>
      <c r="J14" s="7" t="n"/>
      <c r="K14" s="7" t="n"/>
      <c r="L14" s="7" t="n"/>
    </row>
  </sheetData>
  <autoFilter ref="A4:L14"/>
  <conditionalFormatting sqref="I5:I14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4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USR – Utilisateurs, rôles et droits</t>
        </is>
      </c>
    </row>
    <row r="2">
      <c r="A2" t="inlineStr">
        <is>
          <t>Vérifier la gestion des comptes et le fait que chaque profil ne voit que ce qui le concerne.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USR-01</t>
        </is>
      </c>
      <c r="B5" s="7" t="inlineStr">
        <is>
          <t>Créer un utilisateur valide</t>
        </is>
      </c>
      <c r="C5" s="7" t="inlineStr">
        <is>
          <t>ADM (admin@admin.com)</t>
        </is>
      </c>
      <c r="D5" s="7" t="inlineStr">
        <is>
          <t>Un service existe</t>
        </is>
      </c>
      <c r="E5" s="7" t="inlineStr">
        <is>
          <t>1. Utilisateurs &gt; Ajouter
2. Nom, e-mail unique, mot de passe, cocher « Approuvé », service, rôle « Agent / demandeur »
3. Enregistrer</t>
        </is>
      </c>
      <c r="F5" s="7" t="inlineStr">
        <is>
          <t>L'utilisateur apparaît dans la liste. Il peut se connecter.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USR-02</t>
        </is>
      </c>
      <c r="B6" s="7" t="inlineStr">
        <is>
          <t>E-mail déjà utilisé</t>
        </is>
      </c>
      <c r="C6" s="7" t="inlineStr">
        <is>
          <t>ADM (admin@admin.com)</t>
        </is>
      </c>
      <c r="D6" s="7" t="inlineStr">
        <is>
          <t>Un utilisateur existe avec l'e-mail X</t>
        </is>
      </c>
      <c r="E6" s="7" t="inlineStr">
        <is>
          <t>1. Créer un utilisateur avec le même e-mail X</t>
        </is>
      </c>
      <c r="F6" s="7" t="inlineStr">
        <is>
          <t>Refus avec un message sous le champ E-mail.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USR-03</t>
        </is>
      </c>
      <c r="B7" s="7" t="inlineStr">
        <is>
          <t>Rôle local sans service</t>
        </is>
      </c>
      <c r="C7" s="7" t="inlineStr">
        <is>
          <t>ADM (admin@admin.com)</t>
        </is>
      </c>
      <c r="D7" s="7" t="inlineStr">
        <is>
          <t>—</t>
        </is>
      </c>
      <c r="E7" s="7" t="inlineStr">
        <is>
          <t>1. Créer un utilisateur avec le rôle « Comptable matière secondaire »
2. Laisser le service vide
3. Enregistrer</t>
        </is>
      </c>
      <c r="F7" s="7" t="inlineStr">
        <is>
          <t>Refus : « Le service de rattachement est obligatoire pour ce rôle. »</t>
        </is>
      </c>
      <c r="G7" s="7" t="inlineStr">
        <is>
          <t>Critique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USR-04</t>
        </is>
      </c>
      <c r="B8" s="7" t="inlineStr">
        <is>
          <t>Rôle local sans service (modification)</t>
        </is>
      </c>
      <c r="C8" s="7" t="inlineStr">
        <is>
          <t>ADM (admin@admin.com)</t>
        </is>
      </c>
      <c r="D8" s="7" t="inlineStr">
        <is>
          <t>Un utilisateur au rôle « Agent / demandeur » avec service</t>
        </is>
      </c>
      <c r="E8" s="7" t="inlineStr">
        <is>
          <t>1. Modifier l'utilisateur
2. Vider le service
3. Enregistrer</t>
        </is>
      </c>
      <c r="F8" s="7" t="inlineStr">
        <is>
          <t>Refus avec le même message.</t>
        </is>
      </c>
      <c r="G8" s="7" t="inlineStr">
        <is>
          <t>Majeur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USR-05</t>
        </is>
      </c>
      <c r="B9" s="7" t="inlineStr">
        <is>
          <t>Aucun rôle</t>
        </is>
      </c>
      <c r="C9" s="7" t="inlineStr">
        <is>
          <t>ADM (admin@admin.com)</t>
        </is>
      </c>
      <c r="D9" s="7" t="inlineStr">
        <is>
          <t>—</t>
        </is>
      </c>
      <c r="E9" s="7" t="inlineStr">
        <is>
          <t>1. Créer un utilisateur sans choisir de rôle</t>
        </is>
      </c>
      <c r="F9" s="7" t="inlineStr">
        <is>
          <t>Refus (au moins un rôle est obligatoire).</t>
        </is>
      </c>
      <c r="G9" s="7" t="inlineStr">
        <is>
          <t>Majeur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USR-06</t>
        </is>
      </c>
      <c r="B10" s="7" t="inlineStr">
        <is>
          <t>Champs obligatoires signalés</t>
        </is>
      </c>
      <c r="C10" s="7" t="inlineStr">
        <is>
          <t>ADM (admin@admin.com)</t>
        </is>
      </c>
      <c r="D10" s="7" t="inlineStr">
        <is>
          <t>—</t>
        </is>
      </c>
      <c r="E10" s="7" t="inlineStr">
        <is>
          <t>1. Ouvrir Utilisateurs &gt; Ajouter</t>
        </is>
      </c>
      <c r="F10" s="7" t="inlineStr">
        <is>
          <t>Nom, e-mail, mot de passe et rôles portent l'astérisque rouge.</t>
        </is>
      </c>
      <c r="G10" s="7" t="inlineStr">
        <is>
          <t>Mineur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USR-07</t>
        </is>
      </c>
      <c r="B11" s="7" t="inlineStr">
        <is>
          <t>Modifier le rôle d'un utilisateur</t>
        </is>
      </c>
      <c r="C11" s="7" t="inlineStr">
        <is>
          <t>ADM (admin@admin.com)</t>
        </is>
      </c>
      <c r="D11" s="7" t="inlineStr">
        <is>
          <t>Utilisateur agent</t>
        </is>
      </c>
      <c r="E11" s="7" t="inlineStr">
        <is>
          <t>1. Changer son rôle en « Comptable matière secondaire »
2. Se connecter avec ce compte</t>
        </is>
      </c>
      <c r="F11" s="7" t="inlineStr">
        <is>
          <t>Le menu et les droits correspondent au nouveau rôle.</t>
        </is>
      </c>
      <c r="G11" s="7" t="inlineStr">
        <is>
          <t>Majeur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USR-08</t>
        </is>
      </c>
      <c r="B12" s="7" t="inlineStr">
        <is>
          <t>La page Rôles s'affiche</t>
        </is>
      </c>
      <c r="C12" s="7" t="inlineStr">
        <is>
          <t>ADM (admin@admin.com)</t>
        </is>
      </c>
      <c r="D12" s="7" t="inlineStr">
        <is>
          <t>—</t>
        </is>
      </c>
      <c r="E12" s="7" t="inlineStr">
        <is>
          <t>1. Rôles et autorisations &gt; Rôles
2. Ouvrir un rôle (œil) puis sa modification</t>
        </is>
      </c>
      <c r="F12" s="7" t="inlineStr">
        <is>
          <t>La liste montre pour chaque rôle sa description et ses droits par domaine ; la fiche et le formulaire s'affichent sans erreur. (Échoue si le fichier PermissionCatalog.php est absent : voir Guide 10.1.)</t>
        </is>
      </c>
      <c r="G12" s="7" t="inlineStr">
        <is>
          <t>Critique</t>
        </is>
      </c>
      <c r="H12" s="7" t="inlineStr">
        <is>
          <t>KO – statut 500 (500 attendu tant que PermissionCatalog.php n'est pas versionné)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USR-09</t>
        </is>
      </c>
      <c r="B13" s="7" t="inlineStr">
        <is>
          <t>Modifier les droits d'un rôle</t>
        </is>
      </c>
      <c r="C13" s="7" t="inlineStr">
        <is>
          <t>ADM (admin@admin.com)</t>
        </is>
      </c>
      <c r="D13" s="7" t="inlineStr">
        <is>
          <t>Un rôle de test avec le droit « supprimer les matières »</t>
        </is>
      </c>
      <c r="E13" s="7" t="inlineStr">
        <is>
          <t>1. Retirer ce droit du rôle
2. Se reconnecter avec un compte de ce rôle
3. Ouvrir la liste des matières</t>
        </is>
      </c>
      <c r="F13" s="7" t="inlineStr">
        <is>
          <t>L'icône de suppression n'apparaît plus.</t>
        </is>
      </c>
      <c r="G13" s="7" t="inlineStr">
        <is>
          <t>Majeur</t>
        </is>
      </c>
      <c r="H13" s="7" t="inlineStr">
        <is>
          <t>Manuel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USR-10</t>
        </is>
      </c>
      <c r="B14" s="7" t="inlineStr">
        <is>
          <t>Menu adapté au profil</t>
        </is>
      </c>
      <c r="C14" s="7" t="inlineStr">
        <is>
          <t>AGT (agent@sygep.test)</t>
        </is>
      </c>
      <c r="D14" s="7" t="inlineStr">
        <is>
          <t>Compte agent</t>
        </is>
      </c>
      <c r="E14" s="7" t="inlineStr">
        <is>
          <t>1. Se connecter
2. Observer le menu</t>
        </is>
      </c>
      <c r="F14" s="7" t="inlineStr">
        <is>
          <t>Seuls les modules autorisés apparaissent (matières du service, demandes de maintenance…) ; pas de Rôles, Stock, Infrastructures, Projets.</t>
        </is>
      </c>
      <c r="G14" s="7" t="inlineStr">
        <is>
          <t>Critique</t>
        </is>
      </c>
      <c r="H14" s="7" t="inlineStr">
        <is>
          <t>OK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USR-11</t>
        </is>
      </c>
      <c r="B15" s="7" t="inlineStr">
        <is>
          <t>Accès direct interdit</t>
        </is>
      </c>
      <c r="C15" s="7" t="inlineStr">
        <is>
          <t>AGT (agent@sygep.test)</t>
        </is>
      </c>
      <c r="D15" s="7" t="inlineStr">
        <is>
          <t>Compte agent</t>
        </is>
      </c>
      <c r="E15" s="7" t="inlineStr">
        <is>
          <t>1. Saisir l'adresse /admin/users ou /admin/stock-items</t>
        </is>
      </c>
      <c r="F15" s="7" t="inlineStr">
        <is>
          <t>Erreur 403 (accès interdit).</t>
        </is>
      </c>
      <c r="G15" s="7" t="inlineStr">
        <is>
          <t>Critique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USR-12</t>
        </is>
      </c>
      <c r="B16" s="7" t="inlineStr">
        <is>
          <t>Directeur en lecture seule</t>
        </is>
      </c>
      <c r="C16" s="7" t="inlineStr">
        <is>
          <t>DIR (directeur@sygep.test)</t>
        </is>
      </c>
      <c r="D16" s="7" t="inlineStr">
        <is>
          <t>—</t>
        </is>
      </c>
      <c r="E16" s="7" t="inlineStr">
        <is>
          <t>1. Ouvrir Matières, Projets, Infrastructures</t>
        </is>
      </c>
      <c r="F16" s="7" t="inlineStr">
        <is>
          <t>Aucun bouton « Ajouter », « Modifier » ni « Supprimer » n'est proposé.</t>
        </is>
      </c>
      <c r="G16" s="7" t="inlineStr">
        <is>
          <t>Majeur</t>
        </is>
      </c>
      <c r="H16" s="7" t="inlineStr">
        <is>
          <t>OK</t>
        </is>
      </c>
      <c r="I16" s="7" t="inlineStr">
        <is>
          <t>Non testé</t>
        </is>
      </c>
      <c r="J16" s="7" t="n"/>
      <c r="K16" s="7" t="n"/>
      <c r="L16" s="7" t="n"/>
    </row>
    <row r="17">
      <c r="A17" s="7" t="inlineStr">
        <is>
          <t>USR-13</t>
        </is>
      </c>
      <c r="B17" s="7" t="inlineStr">
        <is>
          <t>Administrateur système hors données métier</t>
        </is>
      </c>
      <c r="C17" s="7" t="inlineStr">
        <is>
          <t>ADM (admin@admin.com)</t>
        </is>
      </c>
      <c r="D17" s="7" t="inlineStr">
        <is>
          <t>Un compte avec le rôle « Administrateur système »</t>
        </is>
      </c>
      <c r="E17" s="7" t="inlineStr">
        <is>
          <t>1. Se connecter avec ce compte
2. Observer le menu</t>
        </is>
      </c>
      <c r="F17" s="7" t="inlineStr">
        <is>
          <t>Seuls Rôles et autorisations (et services en lecture) sont accessibles ; pas les matières ni le stock.</t>
        </is>
      </c>
      <c r="G17" s="7" t="inlineStr">
        <is>
          <t>Majeur</t>
        </is>
      </c>
      <c r="H17" s="7" t="inlineStr">
        <is>
          <t>OK</t>
        </is>
      </c>
      <c r="I17" s="7" t="inlineStr">
        <is>
          <t>Non testé</t>
        </is>
      </c>
      <c r="J17" s="7" t="n"/>
      <c r="K17" s="7" t="n"/>
      <c r="L17" s="7" t="n"/>
    </row>
    <row r="18">
      <c r="A18" s="7" t="inlineStr">
        <is>
          <t>USR-14</t>
        </is>
      </c>
      <c r="B18" s="7" t="inlineStr">
        <is>
          <t>Suppression d'un utilisateur</t>
        </is>
      </c>
      <c r="C18" s="7" t="inlineStr">
        <is>
          <t>ADM (admin@admin.com)</t>
        </is>
      </c>
      <c r="D18" s="7" t="inlineStr">
        <is>
          <t>Un utilisateur de test</t>
        </is>
      </c>
      <c r="E18" s="7" t="inlineStr">
        <is>
          <t>1. Supprimer l'utilisateur (icône corbeille)
2. Confirmer</t>
        </is>
      </c>
      <c r="F18" s="7" t="inlineStr">
        <is>
          <t>Il disparaît de la liste. Ses actions passées restent dans l'historique.</t>
        </is>
      </c>
      <c r="G18" s="7" t="inlineStr">
        <is>
          <t>Mineur</t>
        </is>
      </c>
      <c r="H18" s="7" t="inlineStr">
        <is>
          <t>OK</t>
        </is>
      </c>
      <c r="I18" s="7" t="inlineStr">
        <is>
          <t>Non testé</t>
        </is>
      </c>
      <c r="J18" s="7" t="n"/>
      <c r="K18" s="7" t="n"/>
      <c r="L18" s="7" t="n"/>
    </row>
  </sheetData>
  <autoFilter ref="A4:L18"/>
  <conditionalFormatting sqref="I5:I18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8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REF – Référentiels (services, catégories, emplacements, fournisseurs, bons)</t>
        </is>
      </c>
    </row>
    <row r="2">
      <c r="A2" t="inlineStr">
        <is>
          <t>Vérifier les listes de choix et les bons d'acquisition.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REF-01</t>
        </is>
      </c>
      <c r="B5" s="7" t="inlineStr">
        <is>
          <t>Créer un service</t>
        </is>
      </c>
      <c r="C5" s="7" t="inlineStr">
        <is>
          <t>CPT (comptable@sygep.test)</t>
        </is>
      </c>
      <c r="D5" s="7" t="inlineStr">
        <is>
          <t>Seul le comptable principal (ou le super administrateur) crée des services</t>
        </is>
      </c>
      <c r="E5" s="7" t="inlineStr">
        <is>
          <t>1. Gestion Matières &gt; Services &gt; Ajouter
2. Nom : « Service test »
3. Enregistrer</t>
        </is>
      </c>
      <c r="F5" s="7" t="inlineStr">
        <is>
          <t>Le service apparaît dans la liste.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REF-02</t>
        </is>
      </c>
      <c r="B6" s="7" t="inlineStr">
        <is>
          <t>Service sans nom</t>
        </is>
      </c>
      <c r="C6" s="7" t="inlineStr">
        <is>
          <t>CPT (comptable@sygep.test)</t>
        </is>
      </c>
      <c r="D6" s="7" t="inlineStr">
        <is>
          <t>—</t>
        </is>
      </c>
      <c r="E6" s="7" t="inlineStr">
        <is>
          <t>1. Services &gt; Ajouter
2. Laisser le nom vide
3. Enregistrer</t>
        </is>
      </c>
      <c r="F6" s="7" t="inlineStr">
        <is>
          <t>Refus avec message sous le champ Nom.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REF-03</t>
        </is>
      </c>
      <c r="B7" s="7" t="inlineStr">
        <is>
          <t>Créer une catégorie</t>
        </is>
      </c>
      <c r="C7" s="7" t="inlineStr">
        <is>
          <t>MAT (matieres@sygep.test)</t>
        </is>
      </c>
      <c r="D7" s="7" t="inlineStr">
        <is>
          <t>—</t>
        </is>
      </c>
      <c r="E7" s="7" t="inlineStr">
        <is>
          <t>1. Catégories &gt; Ajouter
2. Nom : « Catégorie test »
3. Enregistrer</t>
        </is>
      </c>
      <c r="F7" s="7" t="inlineStr">
        <is>
          <t>La catégorie apparaît ; elle est proposée dans le formulaire des matières.</t>
        </is>
      </c>
      <c r="G7" s="7" t="inlineStr">
        <is>
          <t>Critique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REF-04</t>
        </is>
      </c>
      <c r="B8" s="7" t="inlineStr">
        <is>
          <t>Créer un emplacement</t>
        </is>
      </c>
      <c r="C8" s="7" t="inlineStr">
        <is>
          <t>MAT (matieres@sygep.test)</t>
        </is>
      </c>
      <c r="D8" s="7" t="inlineStr">
        <is>
          <t>—</t>
        </is>
      </c>
      <c r="E8" s="7" t="inlineStr">
        <is>
          <t>1. Emplacements &gt; Ajouter
2. Nom : « Salle test »
3. Enregistrer</t>
        </is>
      </c>
      <c r="F8" s="7" t="inlineStr">
        <is>
          <t>L'emplacement apparaît ; il est proposé dans le formulaire des matières.</t>
        </is>
      </c>
      <c r="G8" s="7" t="inlineStr">
        <is>
          <t>Critique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REF-05</t>
        </is>
      </c>
      <c r="B9" s="7" t="inlineStr">
        <is>
          <t>Statuts de matières en français</t>
        </is>
      </c>
      <c r="C9" s="7" t="inlineStr">
        <is>
          <t>MAT (matieres@sygep.test)</t>
        </is>
      </c>
      <c r="D9" s="7" t="inlineStr">
        <is>
          <t>Base installée avec les seeders</t>
        </is>
      </c>
      <c r="E9" s="7" t="inlineStr">
        <is>
          <t>1. Statuts des matières</t>
        </is>
      </c>
      <c r="F9" s="7" t="inlineStr">
        <is>
          <t>Les cinq statuts existent : Disponible, Pas disponible, En panne, En réparation, Affecté.</t>
        </is>
      </c>
      <c r="G9" s="7" t="inlineStr">
        <is>
          <t>Critique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REF-06</t>
        </is>
      </c>
      <c r="B10" s="7" t="inlineStr">
        <is>
          <t>Créer un fournisseur</t>
        </is>
      </c>
      <c r="C10" s="7" t="inlineStr">
        <is>
          <t>MAT (matieres@sygep.test)</t>
        </is>
      </c>
      <c r="D10" s="7" t="inlineStr">
        <is>
          <t>—</t>
        </is>
      </c>
      <c r="E10" s="7" t="inlineStr">
        <is>
          <t>1. Fournisseurs &gt; Ajouter
2. Nom et contact
3. Enregistrer</t>
        </is>
      </c>
      <c r="F10" s="7" t="inlineStr">
        <is>
          <t>Le fournisseur apparaît dans la liste.</t>
        </is>
      </c>
      <c r="G10" s="7" t="inlineStr">
        <is>
          <t>Critique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REF-07</t>
        </is>
      </c>
      <c r="B11" s="7" t="inlineStr">
        <is>
          <t>Fournisseur sans contact</t>
        </is>
      </c>
      <c r="C11" s="7" t="inlineStr">
        <is>
          <t>MAT (matieres@sygep.test)</t>
        </is>
      </c>
      <c r="D11" s="7" t="inlineStr">
        <is>
          <t>—</t>
        </is>
      </c>
      <c r="E11" s="7" t="inlineStr">
        <is>
          <t>1. Fournisseurs &gt; Ajouter
2. Renseigner le nom seulement</t>
        </is>
      </c>
      <c r="F11" s="7" t="inlineStr">
        <is>
          <t>Refus : le contact est obligatoire.</t>
        </is>
      </c>
      <c r="G11" s="7" t="inlineStr">
        <is>
          <t>Majeur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REF-08</t>
        </is>
      </c>
      <c r="B12" s="7" t="inlineStr">
        <is>
          <t>Créer un bon valide</t>
        </is>
      </c>
      <c r="C12" s="7" t="inlineStr">
        <is>
          <t>MAT (matieres@sygep.test)</t>
        </is>
      </c>
      <c r="D12" s="7" t="inlineStr">
        <is>
          <t>—</t>
        </is>
      </c>
      <c r="E12" s="7" t="inlineStr">
        <is>
          <t>1. Bons &gt; Ajouter
2. Date d'émission, organisation, référence de commande, destinataire, « Bon », date de livraison
3. Enregistrer</t>
        </is>
      </c>
      <c r="F12" s="7" t="inlineStr">
        <is>
          <t>Le bon apparaît dans la liste avec le nombre de matières à 0.</t>
        </is>
      </c>
      <c r="G12" s="7" t="inlineStr">
        <is>
          <t>Critique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REF-09</t>
        </is>
      </c>
      <c r="B13" s="7" t="inlineStr">
        <is>
          <t>Référence de commande en double</t>
        </is>
      </c>
      <c r="C13" s="7" t="inlineStr">
        <is>
          <t>MAT (matieres@sygep.test)</t>
        </is>
      </c>
      <c r="D13" s="7" t="inlineStr">
        <is>
          <t>Un bon avec la référence R1 existe</t>
        </is>
      </c>
      <c r="E13" s="7" t="inlineStr">
        <is>
          <t>1. Créer un second bon avec la référence R1</t>
        </is>
      </c>
      <c r="F13" s="7" t="inlineStr">
        <is>
          <t>Refus : la référence est déjà utilisée.</t>
        </is>
      </c>
      <c r="G13" s="7" t="inlineStr">
        <is>
          <t>Critique</t>
        </is>
      </c>
      <c r="H13" s="7" t="inlineStr">
        <is>
          <t>OK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REF-10</t>
        </is>
      </c>
      <c r="B14" s="7" t="inlineStr">
        <is>
          <t>Même organisation, deux bons</t>
        </is>
      </c>
      <c r="C14" s="7" t="inlineStr">
        <is>
          <t>MAT (matieres@sygep.test)</t>
        </is>
      </c>
      <c r="D14" s="7" t="inlineStr">
        <is>
          <t>Un bon de l'organisation O existe</t>
        </is>
      </c>
      <c r="E14" s="7" t="inlineStr">
        <is>
          <t>1. Créer un bon de la même organisation O avec une autre référence</t>
        </is>
      </c>
      <c r="F14" s="7" t="inlineStr">
        <is>
          <t>Accepté (une organisation peut avoir plusieurs bons).</t>
        </is>
      </c>
      <c r="G14" s="7" t="inlineStr">
        <is>
          <t>Critique</t>
        </is>
      </c>
      <c r="H14" s="7" t="inlineStr">
        <is>
          <t>OK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REF-11</t>
        </is>
      </c>
      <c r="B15" s="7" t="inlineStr">
        <is>
          <t>Livraison avant émission</t>
        </is>
      </c>
      <c r="C15" s="7" t="inlineStr">
        <is>
          <t>MAT (matieres@sygep.test)</t>
        </is>
      </c>
      <c r="D15" s="7" t="inlineStr">
        <is>
          <t>—</t>
        </is>
      </c>
      <c r="E15" s="7" t="inlineStr">
        <is>
          <t>1. Créer un bon avec une date de livraison antérieure à la date d'émission</t>
        </is>
      </c>
      <c r="F15" s="7" t="inlineStr">
        <is>
          <t>Refus avec message sous la date de livraison.</t>
        </is>
      </c>
      <c r="G15" s="7" t="inlineStr">
        <is>
          <t>Majeur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REF-12</t>
        </is>
      </c>
      <c r="B16" s="7" t="inlineStr">
        <is>
          <t>Bon sans libellé « Bon »</t>
        </is>
      </c>
      <c r="C16" s="7" t="inlineStr">
        <is>
          <t>MAT (matieres@sygep.test)</t>
        </is>
      </c>
      <c r="D16" s="7" t="inlineStr">
        <is>
          <t>—</t>
        </is>
      </c>
      <c r="E16" s="7" t="inlineStr">
        <is>
          <t>1. Créer un bon en laissant le champ « Bon » vide</t>
        </is>
      </c>
      <c r="F16" s="7" t="inlineStr">
        <is>
          <t>Refus (champ obligatoire).</t>
        </is>
      </c>
      <c r="G16" s="7" t="inlineStr">
        <is>
          <t>Majeur</t>
        </is>
      </c>
      <c r="H16" s="7" t="inlineStr">
        <is>
          <t>OK</t>
        </is>
      </c>
      <c r="I16" s="7" t="inlineStr">
        <is>
          <t>Non testé</t>
        </is>
      </c>
      <c r="J16" s="7" t="n"/>
      <c r="K16" s="7" t="n"/>
      <c r="L16" s="7" t="n"/>
    </row>
    <row r="17">
      <c r="A17" s="7" t="inlineStr">
        <is>
          <t>REF-13</t>
        </is>
      </c>
      <c r="B17" s="7" t="inlineStr">
        <is>
          <t>Fiche d'un bon : matières reçues</t>
        </is>
      </c>
      <c r="C17" s="7" t="inlineStr">
        <is>
          <t>MAT (matieres@sygep.test)</t>
        </is>
      </c>
      <c r="D17" s="7" t="inlineStr">
        <is>
          <t>Une matière créée avec ce bon (voir MAT-01)</t>
        </is>
      </c>
      <c r="E17" s="7" t="inlineStr">
        <is>
          <t>1. Bons &gt; œil du bon concerné</t>
        </is>
      </c>
      <c r="F17" s="7" t="inlineStr">
        <is>
          <t>La fiche liste les matières reçues (code, nom, catégorie, état). La liste des bons indique le bon nombre.</t>
        </is>
      </c>
      <c r="G17" s="7" t="inlineStr">
        <is>
          <t>Majeur</t>
        </is>
      </c>
      <c r="H17" s="7" t="inlineStr">
        <is>
          <t>Manuel</t>
        </is>
      </c>
      <c r="I17" s="7" t="inlineStr">
        <is>
          <t>Non testé</t>
        </is>
      </c>
      <c r="J17" s="7" t="n"/>
      <c r="K17" s="7" t="n"/>
      <c r="L17" s="7" t="n"/>
    </row>
    <row r="18">
      <c r="A18" s="7" t="inlineStr">
        <is>
          <t>REF-14</t>
        </is>
      </c>
      <c r="B18" s="7" t="inlineStr">
        <is>
          <t>Modifier un bon</t>
        </is>
      </c>
      <c r="C18" s="7" t="inlineStr">
        <is>
          <t>MAT (matieres@sygep.test)</t>
        </is>
      </c>
      <c r="D18" s="7" t="inlineStr">
        <is>
          <t>Un bon existe</t>
        </is>
      </c>
      <c r="E18" s="7" t="inlineStr">
        <is>
          <t>1. Modifier la date de livraison
2. Enregistrer</t>
        </is>
      </c>
      <c r="F18" s="7" t="inlineStr">
        <is>
          <t>La modification est enregistrée ; les mêmes règles s'appliquent.</t>
        </is>
      </c>
      <c r="G18" s="7" t="inlineStr">
        <is>
          <t>Mineur</t>
        </is>
      </c>
      <c r="H18" s="7" t="inlineStr">
        <is>
          <t>OK</t>
        </is>
      </c>
      <c r="I18" s="7" t="inlineStr">
        <is>
          <t>Non testé</t>
        </is>
      </c>
      <c r="J18" s="7" t="n"/>
      <c r="K18" s="7" t="n"/>
      <c r="L18" s="7" t="n"/>
    </row>
  </sheetData>
  <autoFilter ref="A4:L18"/>
  <conditionalFormatting sqref="I5:I18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8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AGT – Agents</t>
        </is>
      </c>
    </row>
    <row r="2">
      <c r="A2" t="inlineStr">
        <is>
          <t>Vérifier l'enregistrement des bénéficiaires du matériel.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AGT-01</t>
        </is>
      </c>
      <c r="B5" s="7" t="inlineStr">
        <is>
          <t>Créer un agent valide</t>
        </is>
      </c>
      <c r="C5" s="7" t="inlineStr">
        <is>
          <t>MAT (matieres@sygep.test)</t>
        </is>
      </c>
      <c r="D5" s="7" t="inlineStr">
        <is>
          <t>Un service existe</t>
        </is>
      </c>
      <c r="E5" s="7" t="inlineStr">
        <is>
          <t>1. Agents &gt; Ajouter
2. Nom, prénom, téléphone, service
3. Enregistrer</t>
        </is>
      </c>
      <c r="F5" s="7" t="inlineStr">
        <is>
          <t>L'agent apparaît dans la liste avec son service.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AGT-02</t>
        </is>
      </c>
      <c r="B6" s="7" t="inlineStr">
        <is>
          <t>Champs obligatoires</t>
        </is>
      </c>
      <c r="C6" s="7" t="inlineStr">
        <is>
          <t>MAT (matieres@sygep.test)</t>
        </is>
      </c>
      <c r="D6" s="7" t="inlineStr">
        <is>
          <t>—</t>
        </is>
      </c>
      <c r="E6" s="7" t="inlineStr">
        <is>
          <t>1. Agents &gt; Ajouter
2. Laisser nom, prénom, téléphone et service vides
3. Enregistrer</t>
        </is>
      </c>
      <c r="F6" s="7" t="inlineStr">
        <is>
          <t>Refus ; chaque champ obligatoire affiche son message. Les libellés portent l'astérisque.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AGT-03</t>
        </is>
      </c>
      <c r="B7" s="7" t="inlineStr">
        <is>
          <t>E-mail invalide</t>
        </is>
      </c>
      <c r="C7" s="7" t="inlineStr">
        <is>
          <t>MAT (matieres@sygep.test)</t>
        </is>
      </c>
      <c r="D7" s="7" t="inlineStr">
        <is>
          <t>—</t>
        </is>
      </c>
      <c r="E7" s="7" t="inlineStr">
        <is>
          <t>1. Saisir « pas-un-mail » dans l'e-mail</t>
        </is>
      </c>
      <c r="F7" s="7" t="inlineStr">
        <is>
          <t>Refus avec message sous le champ.</t>
        </is>
      </c>
      <c r="G7" s="7" t="inlineStr">
        <is>
          <t>Majeur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AGT-04</t>
        </is>
      </c>
      <c r="B8" s="7" t="inlineStr">
        <is>
          <t>E-mail facultatif et non unique</t>
        </is>
      </c>
      <c r="C8" s="7" t="inlineStr">
        <is>
          <t>MAT (matieres@sygep.test)</t>
        </is>
      </c>
      <c r="D8" s="7" t="inlineStr">
        <is>
          <t>Un agent avec l'e-mail X existe</t>
        </is>
      </c>
      <c r="E8" s="7" t="inlineStr">
        <is>
          <t>1. Créer un second agent avec le même e-mail X
2. Créer un troisième sans e-mail</t>
        </is>
      </c>
      <c r="F8" s="7" t="inlineStr">
        <is>
          <t>Les deux sont acceptés.</t>
        </is>
      </c>
      <c r="G8" s="7" t="inlineStr">
        <is>
          <t>Mineur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AGT-05</t>
        </is>
      </c>
      <c r="B9" s="7" t="inlineStr">
        <is>
          <t>Fiche d'un agent</t>
        </is>
      </c>
      <c r="C9" s="7" t="inlineStr">
        <is>
          <t>MAT (matieres@sygep.test)</t>
        </is>
      </c>
      <c r="D9" s="7" t="inlineStr">
        <is>
          <t>Un agent détient du matériel (ex. Moussa Ndiaye)</t>
        </is>
      </c>
      <c r="E9" s="7" t="inlineStr">
        <is>
          <t>1. Agents &gt; œil</t>
        </is>
      </c>
      <c r="F9" s="7" t="inlineStr">
        <is>
          <t>La fiche montre le matériel détenu et ses bons d'affectation en cours.</t>
        </is>
      </c>
      <c r="G9" s="7" t="inlineStr">
        <is>
          <t>Majeur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AGT-06</t>
        </is>
      </c>
      <c r="B10" s="7" t="inlineStr">
        <is>
          <t>Chiffres de la liste</t>
        </is>
      </c>
      <c r="C10" s="7" t="inlineStr">
        <is>
          <t>MAT (matieres@sygep.test)</t>
        </is>
      </c>
      <c r="D10" s="7" t="inlineStr">
        <is>
          <t>Jeu de démonstration</t>
        </is>
      </c>
      <c r="E10" s="7" t="inlineStr">
        <is>
          <t>1. Agents</t>
        </is>
      </c>
      <c r="F10" s="7" t="inlineStr">
        <is>
          <t>Les cartes (agents, détenteurs de matériel, sans matériel, retours en retard) sont cohérentes avec la liste.</t>
        </is>
      </c>
      <c r="G10" s="7" t="inlineStr">
        <is>
          <t>Mineur</t>
        </is>
      </c>
      <c r="H10" s="7" t="inlineStr">
        <is>
          <t>Manuel</t>
        </is>
      </c>
      <c r="I10" s="7" t="inlineStr">
        <is>
          <t>Non testé</t>
        </is>
      </c>
      <c r="J10" s="7" t="n"/>
      <c r="K10" s="7" t="n"/>
      <c r="L10" s="7" t="n"/>
    </row>
  </sheetData>
  <autoFilter ref="A4:L10"/>
  <conditionalFormatting sqref="I5:I1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0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MAT – Matières, étiquettes QR et scanner</t>
        </is>
      </c>
    </row>
    <row r="2">
      <c r="A2" t="inlineStr">
        <is>
          <t>Vérifier l'enregistrement des biens durables, leur identification et leur historique.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MAT-01</t>
        </is>
      </c>
      <c r="B5" s="7" t="inlineStr">
        <is>
          <t>Créer une matière minimale</t>
        </is>
      </c>
      <c r="C5" s="7" t="inlineStr">
        <is>
          <t>MAT (matieres@sygep.test)</t>
        </is>
      </c>
      <c r="D5" s="7" t="inlineStr">
        <is>
          <t>Catégorie et emplacement existent</t>
        </is>
      </c>
      <c r="E5" s="7" t="inlineStr">
        <is>
          <t>1. Matières &gt; Ajouter
2. Catégorie, nom, laisser l'état « Disponible », localisation, date d'achat (aujourd'hui ou avant)
3. Enregistrer</t>
        </is>
      </c>
      <c r="F5" s="7" t="inlineStr">
        <is>
          <t>La matière apparaît dans la liste. Sa fiche montre un code SYGEP-MAT-xxxxxx et, dans l'historique, une ligne « création ».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MAT-02</t>
        </is>
      </c>
      <c r="B6" s="7" t="inlineStr">
        <is>
          <t>État proposé à la création</t>
        </is>
      </c>
      <c r="C6" s="7" t="inlineStr">
        <is>
          <t>MAT (matieres@sygep.test)</t>
        </is>
      </c>
      <c r="D6" s="7" t="inlineStr">
        <is>
          <t>—</t>
        </is>
      </c>
      <c r="E6" s="7" t="inlineStr">
        <is>
          <t>1. Matières &gt; Ajouter
2. Ouvrir la liste « État »</t>
        </is>
      </c>
      <c r="F6" s="7" t="inlineStr">
        <is>
          <t>« Disponible » est présélectionné ; « Affecté » et « En réparation » ne sont pas proposés.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MAT-03</t>
        </is>
      </c>
      <c r="B7" s="7" t="inlineStr">
        <is>
          <t>Date d'achat future</t>
        </is>
      </c>
      <c r="C7" s="7" t="inlineStr">
        <is>
          <t>MAT (matieres@sygep.test)</t>
        </is>
      </c>
      <c r="D7" s="7" t="inlineStr">
        <is>
          <t>—</t>
        </is>
      </c>
      <c r="E7" s="7" t="inlineStr">
        <is>
          <t>1. Saisir une date d'achat de demain
2. Enregistrer</t>
        </is>
      </c>
      <c r="F7" s="7" t="inlineStr">
        <is>
          <t>Refus avec message sous la date.</t>
        </is>
      </c>
      <c r="G7" s="7" t="inlineStr">
        <is>
          <t>Majeur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MAT-04</t>
        </is>
      </c>
      <c r="B8" s="7" t="inlineStr">
        <is>
          <t>Mise en service avant l'achat</t>
        </is>
      </c>
      <c r="C8" s="7" t="inlineStr">
        <is>
          <t>MAT (matieres@sygep.test)</t>
        </is>
      </c>
      <c r="D8" s="7" t="inlineStr">
        <is>
          <t>—</t>
        </is>
      </c>
      <c r="E8" s="7" t="inlineStr">
        <is>
          <t>1. Date d'achat 15/06, mise en service 01/06 (même année)
2. Enregistrer</t>
        </is>
      </c>
      <c r="F8" s="7" t="inlineStr">
        <is>
          <t>Refus avec message sous la date de mise en service.</t>
        </is>
      </c>
      <c r="G8" s="7" t="inlineStr">
        <is>
          <t>Majeur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MAT-05</t>
        </is>
      </c>
      <c r="B9" s="7" t="inlineStr">
        <is>
          <t>Numéro de série en double</t>
        </is>
      </c>
      <c r="C9" s="7" t="inlineStr">
        <is>
          <t>MAT (matieres@sygep.test)</t>
        </is>
      </c>
      <c r="D9" s="7" t="inlineStr">
        <is>
          <t>Une matière avec le numéro de série S1 existe</t>
        </is>
      </c>
      <c r="E9" s="7" t="inlineStr">
        <is>
          <t>1. Créer une autre matière avec le numéro S1</t>
        </is>
      </c>
      <c r="F9" s="7" t="inlineStr">
        <is>
          <t>Refus (numéro déjà utilisé).</t>
        </is>
      </c>
      <c r="G9" s="7" t="inlineStr">
        <is>
          <t>Critique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MAT-06</t>
        </is>
      </c>
      <c r="B10" s="7" t="inlineStr">
        <is>
          <t>Numéro de série vide accepté</t>
        </is>
      </c>
      <c r="C10" s="7" t="inlineStr">
        <is>
          <t>MAT (matieres@sygep.test)</t>
        </is>
      </c>
      <c r="D10" s="7" t="inlineStr">
        <is>
          <t>—</t>
        </is>
      </c>
      <c r="E10" s="7" t="inlineStr">
        <is>
          <t>1. Créer deux matières sans numéro de série</t>
        </is>
      </c>
      <c r="F10" s="7" t="inlineStr">
        <is>
          <t>Les deux sont acceptées.</t>
        </is>
      </c>
      <c r="G10" s="7" t="inlineStr">
        <is>
          <t>Majeur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MAT-07</t>
        </is>
      </c>
      <c r="B11" s="7" t="inlineStr">
        <is>
          <t>Champs facultatifs</t>
        </is>
      </c>
      <c r="C11" s="7" t="inlineStr">
        <is>
          <t>MAT (matieres@sygep.test)</t>
        </is>
      </c>
      <c r="D11" s="7" t="inlineStr">
        <is>
          <t>—</t>
        </is>
      </c>
      <c r="E11" s="7" t="inlineStr">
        <is>
          <t>1. Créer une matière sans type, sans modèle, sans fournisseur, sans bon</t>
        </is>
      </c>
      <c r="F11" s="7" t="inlineStr">
        <is>
          <t>Acceptée. Le tableau et la fiche n'affichent rien (ou un tiret) pour ces champs.</t>
        </is>
      </c>
      <c r="G11" s="7" t="inlineStr">
        <is>
          <t>Majeur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MAT-08</t>
        </is>
      </c>
      <c r="B12" s="7" t="inlineStr">
        <is>
          <t>Fournisseur et bon à choix unique</t>
        </is>
      </c>
      <c r="C12" s="7" t="inlineStr">
        <is>
          <t>MAT (matieres@sygep.test)</t>
        </is>
      </c>
      <c r="D12" s="7" t="inlineStr">
        <is>
          <t>—</t>
        </is>
      </c>
      <c r="E12" s="7" t="inlineStr">
        <is>
          <t>1. Matières &gt; Ajouter
2. Observer les listes Fournisseur et Bon</t>
        </is>
      </c>
      <c r="F12" s="7" t="inlineStr">
        <is>
          <t>Chaque liste ne permet de choisir qu'un seul élément ; pas de boutons « tout sélectionner ».</t>
        </is>
      </c>
      <c r="G12" s="7" t="inlineStr">
        <is>
          <t>Mineur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MAT-09</t>
        </is>
      </c>
      <c r="B13" s="7" t="inlineStr">
        <is>
          <t>Photo de la matière</t>
        </is>
      </c>
      <c r="C13" s="7" t="inlineStr">
        <is>
          <t>MAT (matieres@sygep.test)</t>
        </is>
      </c>
      <c r="D13" s="7" t="inlineStr">
        <is>
          <t>Une image de moins de 2 Mo</t>
        </is>
      </c>
      <c r="E13" s="7" t="inlineStr">
        <is>
          <t>1. Glisser une image dans la zone Photos
2. Enregistrer
3. Ouvrir la fiche</t>
        </is>
      </c>
      <c r="F13" s="7" t="inlineStr">
        <is>
          <t>La photo est enregistrée et visible (lien « voir » dans la fiche).</t>
        </is>
      </c>
      <c r="G13" s="7" t="inlineStr">
        <is>
          <t>Majeur</t>
        </is>
      </c>
      <c r="H13" s="7" t="inlineStr">
        <is>
          <t>Manuel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MAT-10</t>
        </is>
      </c>
      <c r="B14" s="7" t="inlineStr">
        <is>
          <t>Photo trop lourde</t>
        </is>
      </c>
      <c r="C14" s="7" t="inlineStr">
        <is>
          <t>MAT (matieres@sygep.test)</t>
        </is>
      </c>
      <c r="D14" s="7" t="inlineStr">
        <is>
          <t>Une image de plus de 2 Mo</t>
        </is>
      </c>
      <c r="E14" s="7" t="inlineStr">
        <is>
          <t>1. Glisser l'image dans la zone Photos</t>
        </is>
      </c>
      <c r="F14" s="7" t="inlineStr">
        <is>
          <t>L'image est refusée avec un message de taille maximale.</t>
        </is>
      </c>
      <c r="G14" s="7" t="inlineStr">
        <is>
          <t>Mineur</t>
        </is>
      </c>
      <c r="H14" s="7" t="inlineStr">
        <is>
          <t>Manuel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MAT-11</t>
        </is>
      </c>
      <c r="B15" s="7" t="inlineStr">
        <is>
          <t>Modifier une matière</t>
        </is>
      </c>
      <c r="C15" s="7" t="inlineStr">
        <is>
          <t>MAT (matieres@sygep.test)</t>
        </is>
      </c>
      <c r="D15" s="7" t="inlineStr">
        <is>
          <t>Une matière existe</t>
        </is>
      </c>
      <c r="E15" s="7" t="inlineStr">
        <is>
          <t>1. Modifier : changer la localisation
2. Enregistrer
3. Ouvrir la fiche &gt; Historique</t>
        </is>
      </c>
      <c r="F15" s="7" t="inlineStr">
        <is>
          <t>Une ligne « modification » apparaît avec la nouvelle localisation et l'auteur.</t>
        </is>
      </c>
      <c r="G15" s="7" t="inlineStr">
        <is>
          <t>Critique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MAT-12</t>
        </is>
      </c>
      <c r="B16" s="7" t="inlineStr">
        <is>
          <t>Fiche d'une matière</t>
        </is>
      </c>
      <c r="C16" s="7" t="inlineStr">
        <is>
          <t>MAT (matieres@sygep.test)</t>
        </is>
      </c>
      <c r="D16" s="7" t="inlineStr">
        <is>
          <t>—</t>
        </is>
      </c>
      <c r="E16" s="7" t="inlineStr">
        <is>
          <t>1. Matières &gt; œil</t>
        </is>
      </c>
      <c r="F16" s="7" t="inlineStr">
        <is>
          <t>Trois blocs : Situation actuelle, QR code, Historique. Le bouton Transférer n'est proposé que si la matière est détenue (affectée).</t>
        </is>
      </c>
      <c r="G16" s="7" t="inlineStr">
        <is>
          <t>Majeur</t>
        </is>
      </c>
      <c r="H16" s="7" t="inlineStr">
        <is>
          <t>OK</t>
        </is>
      </c>
      <c r="I16" s="7" t="inlineStr">
        <is>
          <t>Non testé</t>
        </is>
      </c>
      <c r="J16" s="7" t="n"/>
      <c r="K16" s="7" t="n"/>
      <c r="L16" s="7" t="n"/>
    </row>
    <row r="17">
      <c r="A17" s="7" t="inlineStr">
        <is>
          <t>MAT-13</t>
        </is>
      </c>
      <c r="B17" s="7" t="inlineStr">
        <is>
          <t>Étiquette imprimable</t>
        </is>
      </c>
      <c r="C17" s="7" t="inlineStr">
        <is>
          <t>MAT (matieres@sygep.test)</t>
        </is>
      </c>
      <c r="D17" s="7" t="inlineStr">
        <is>
          <t>—</t>
        </is>
      </c>
      <c r="E17" s="7" t="inlineStr">
        <is>
          <t>1. Fiche &gt; Étiquette</t>
        </is>
      </c>
      <c r="F17" s="7" t="inlineStr">
        <is>
          <t>Une page imprimable affiche le QR code, le code et le nom de la matière.</t>
        </is>
      </c>
      <c r="G17" s="7" t="inlineStr">
        <is>
          <t>Critique</t>
        </is>
      </c>
      <c r="H17" s="7" t="inlineStr">
        <is>
          <t>OK</t>
        </is>
      </c>
      <c r="I17" s="7" t="inlineStr">
        <is>
          <t>Non testé</t>
        </is>
      </c>
      <c r="J17" s="7" t="n"/>
      <c r="K17" s="7" t="n"/>
      <c r="L17" s="7" t="n"/>
    </row>
    <row r="18">
      <c r="A18" s="7" t="inlineStr">
        <is>
          <t>MAT-14</t>
        </is>
      </c>
      <c r="B18" s="7" t="inlineStr">
        <is>
          <t>Télécharger le QR en SVG</t>
        </is>
      </c>
      <c r="C18" s="7" t="inlineStr">
        <is>
          <t>MAT (matieres@sygep.test)</t>
        </is>
      </c>
      <c r="D18" s="7" t="inlineStr">
        <is>
          <t>—</t>
        </is>
      </c>
      <c r="E18" s="7" t="inlineStr">
        <is>
          <t>1. Fiche &gt; bouton SVG</t>
        </is>
      </c>
      <c r="F18" s="7" t="inlineStr">
        <is>
          <t>Un fichier SVG du QR code est téléchargé.</t>
        </is>
      </c>
      <c r="G18" s="7" t="inlineStr">
        <is>
          <t>Mineur</t>
        </is>
      </c>
      <c r="H18" s="7" t="inlineStr">
        <is>
          <t>OK</t>
        </is>
      </c>
      <c r="I18" s="7" t="inlineStr">
        <is>
          <t>Non testé</t>
        </is>
      </c>
      <c r="J18" s="7" t="n"/>
      <c r="K18" s="7" t="n"/>
      <c r="L18" s="7" t="n"/>
    </row>
    <row r="19">
      <c r="A19" s="7" t="inlineStr">
        <is>
          <t>MAT-15</t>
        </is>
      </c>
      <c r="B19" s="7" t="inlineStr">
        <is>
          <t>QR code : adresse correcte</t>
        </is>
      </c>
      <c r="C19" s="7" t="inlineStr">
        <is>
          <t>MAT (matieres@sygep.test)</t>
        </is>
      </c>
      <c r="D19" s="7" t="inlineStr">
        <is>
          <t>APP_URL réglé</t>
        </is>
      </c>
      <c r="E19" s="7" t="inlineStr">
        <is>
          <t>1. Scanner le QR code d'une étiquette avec un téléphone (ou lire l'adresse encodée)</t>
        </is>
      </c>
      <c r="F19" s="7" t="inlineStr">
        <is>
          <t>L'adresse commence par APP_URL puis /q/SYGEP-MAT-xxxxxx.</t>
        </is>
      </c>
      <c r="G19" s="7" t="inlineStr">
        <is>
          <t>Critique</t>
        </is>
      </c>
      <c r="H19" s="7" t="inlineStr">
        <is>
          <t>OK</t>
        </is>
      </c>
      <c r="I19" s="7" t="inlineStr">
        <is>
          <t>Non testé</t>
        </is>
      </c>
      <c r="J19" s="7" t="n"/>
      <c r="K19" s="7" t="n"/>
      <c r="L19" s="7" t="n"/>
    </row>
    <row r="20">
      <c r="A20" s="7" t="inlineStr">
        <is>
          <t>MAT-16</t>
        </is>
      </c>
      <c r="B20" s="7" t="inlineStr">
        <is>
          <t>Liste : colonnes essentielles</t>
        </is>
      </c>
      <c r="C20" s="7" t="inlineStr">
        <is>
          <t>MAT (matieres@sygep.test)</t>
        </is>
      </c>
      <c r="D20" s="7" t="inlineStr">
        <is>
          <t>—</t>
        </is>
      </c>
      <c r="E20" s="7" t="inlineStr">
        <is>
          <t>1. Matières</t>
        </is>
      </c>
      <c r="F20" s="7" t="inlineStr">
        <is>
          <t>Le tableau affiche : ID, catégorie, n° de série, nom, état, localisation, date d'achat, détenteur, actions.</t>
        </is>
      </c>
      <c r="G20" s="7" t="inlineStr">
        <is>
          <t>Mineur</t>
        </is>
      </c>
      <c r="H20" s="7" t="inlineStr">
        <is>
          <t>OK</t>
        </is>
      </c>
      <c r="I20" s="7" t="inlineStr">
        <is>
          <t>Non testé</t>
        </is>
      </c>
      <c r="J20" s="7" t="n"/>
      <c r="K20" s="7" t="n"/>
      <c r="L20" s="7" t="n"/>
    </row>
    <row r="21">
      <c r="A21" s="7" t="inlineStr">
        <is>
          <t>MAT-17</t>
        </is>
      </c>
      <c r="B21" s="7" t="inlineStr">
        <is>
          <t>Liste : recherche, tri, pagination</t>
        </is>
      </c>
      <c r="C21" s="7" t="inlineStr">
        <is>
          <t>MAT (matieres@sygep.test)</t>
        </is>
      </c>
      <c r="D21" s="7" t="inlineStr">
        <is>
          <t>Jeu de démonstration</t>
        </is>
      </c>
      <c r="E21" s="7" t="inlineStr">
        <is>
          <t>1. Taper « HP » dans Rechercher
2. Cliquer sur l'en-tête « Nom »
3. Changer « Afficher » à 10</t>
        </is>
      </c>
      <c r="F21" s="7" t="inlineStr">
        <is>
          <t>La liste se filtre, se trie et se pagine sans recharger la page.</t>
        </is>
      </c>
      <c r="G21" s="7" t="inlineStr">
        <is>
          <t>Majeur</t>
        </is>
      </c>
      <c r="H21" s="7" t="inlineStr">
        <is>
          <t>OK</t>
        </is>
      </c>
      <c r="I21" s="7" t="inlineStr">
        <is>
          <t>Non testé</t>
        </is>
      </c>
      <c r="J21" s="7" t="n"/>
      <c r="K21" s="7" t="n"/>
      <c r="L21" s="7" t="n"/>
    </row>
    <row r="22">
      <c r="A22" s="7" t="inlineStr">
        <is>
          <t>MAT-18</t>
        </is>
      </c>
      <c r="B22" s="7" t="inlineStr">
        <is>
          <t>Liste : export</t>
        </is>
      </c>
      <c r="C22" s="7" t="inlineStr">
        <is>
          <t>MAT (matieres@sygep.test)</t>
        </is>
      </c>
      <c r="D22" s="7" t="inlineStr">
        <is>
          <t>—</t>
        </is>
      </c>
      <c r="E22" s="7" t="inlineStr">
        <is>
          <t>1. Exporter &gt; Excel
2. Exporter &gt; PDF</t>
        </is>
      </c>
      <c r="F22" s="7" t="inlineStr">
        <is>
          <t>Les fichiers contiennent les colonnes visibles et les lignes affichées.</t>
        </is>
      </c>
      <c r="G22" s="7" t="inlineStr">
        <is>
          <t>Majeur</t>
        </is>
      </c>
      <c r="H22" s="7" t="inlineStr">
        <is>
          <t>OK</t>
        </is>
      </c>
      <c r="I22" s="7" t="inlineStr">
        <is>
          <t>Non testé</t>
        </is>
      </c>
      <c r="J22" s="7" t="n"/>
      <c r="K22" s="7" t="n"/>
      <c r="L22" s="7" t="n"/>
    </row>
    <row r="23">
      <c r="A23" s="7" t="inlineStr">
        <is>
          <t>MAT-19</t>
        </is>
      </c>
      <c r="B23" s="7" t="inlineStr">
        <is>
          <t>Liste : masquer une colonne</t>
        </is>
      </c>
      <c r="C23" s="7" t="inlineStr">
        <is>
          <t>MAT (matieres@sygep.test)</t>
        </is>
      </c>
      <c r="D23" s="7" t="inlineStr">
        <is>
          <t>—</t>
        </is>
      </c>
      <c r="E23" s="7" t="inlineStr">
        <is>
          <t>1. Colonnes &gt; décocher « Localisation »</t>
        </is>
      </c>
      <c r="F23" s="7" t="inlineStr">
        <is>
          <t>La colonne disparaît et n'est plus exportée.</t>
        </is>
      </c>
      <c r="G23" s="7" t="inlineStr">
        <is>
          <t>Mineur</t>
        </is>
      </c>
      <c r="H23" s="7" t="inlineStr">
        <is>
          <t>OK</t>
        </is>
      </c>
      <c r="I23" s="7" t="inlineStr">
        <is>
          <t>Non testé</t>
        </is>
      </c>
      <c r="J23" s="7" t="n"/>
      <c r="K23" s="7" t="n"/>
      <c r="L23" s="7" t="n"/>
    </row>
    <row r="24">
      <c r="A24" s="7" t="inlineStr">
        <is>
          <t>MAT-20</t>
        </is>
      </c>
      <c r="B24" s="7" t="inlineStr">
        <is>
          <t>Supprimer une matière</t>
        </is>
      </c>
      <c r="C24" s="7" t="inlineStr">
        <is>
          <t>MAT (matieres@sygep.test)</t>
        </is>
      </c>
      <c r="D24" s="7" t="inlineStr">
        <is>
          <t>Une matière de test sans affectation</t>
        </is>
      </c>
      <c r="E24" s="7" t="inlineStr">
        <is>
          <t>1. Cliquer la corbeille
2. Confirmer</t>
        </is>
      </c>
      <c r="F24" s="7" t="inlineStr">
        <is>
          <t>Elle disparaît de la liste (suppression logique).</t>
        </is>
      </c>
      <c r="G24" s="7" t="inlineStr">
        <is>
          <t>Majeur</t>
        </is>
      </c>
      <c r="H24" s="7" t="inlineStr">
        <is>
          <t>OK</t>
        </is>
      </c>
      <c r="I24" s="7" t="inlineStr">
        <is>
          <t>Non testé</t>
        </is>
      </c>
      <c r="J24" s="7" t="n"/>
      <c r="K24" s="7" t="n"/>
      <c r="L24" s="7" t="n"/>
    </row>
    <row r="25">
      <c r="A25" s="7" t="inlineStr">
        <is>
          <t>MAT-21</t>
        </is>
      </c>
      <c r="B25" s="7" t="inlineStr">
        <is>
          <t>Scanner : saisie du code</t>
        </is>
      </c>
      <c r="C25" s="7" t="inlineStr">
        <is>
          <t>MAT (matieres@sygep.test)</t>
        </is>
      </c>
      <c r="D25" s="7" t="inlineStr">
        <is>
          <t>Code d'une matière connue (ex. SYGEP-MAT-000001)</t>
        </is>
      </c>
      <c r="E25" s="7" t="inlineStr">
        <is>
          <t>1. Scanner un QR code &gt; Saisie manuelle
2. Saisir le code
3. Valider</t>
        </is>
      </c>
      <c r="F25" s="7" t="inlineStr">
        <is>
          <t>La fiche de la matière s'ouvre.</t>
        </is>
      </c>
      <c r="G25" s="7" t="inlineStr">
        <is>
          <t>Critique</t>
        </is>
      </c>
      <c r="H25" s="7" t="inlineStr">
        <is>
          <t>OK</t>
        </is>
      </c>
      <c r="I25" s="7" t="inlineStr">
        <is>
          <t>Non testé</t>
        </is>
      </c>
      <c r="J25" s="7" t="n"/>
      <c r="K25" s="7" t="n"/>
      <c r="L25" s="7" t="n"/>
    </row>
    <row r="26">
      <c r="A26" s="7" t="inlineStr">
        <is>
          <t>MAT-22</t>
        </is>
      </c>
      <c r="B26" s="7" t="inlineStr">
        <is>
          <t>Scanner : numéro de série ou lien</t>
        </is>
      </c>
      <c r="C26" s="7" t="inlineStr">
        <is>
          <t>MAT (matieres@sygep.test)</t>
        </is>
      </c>
      <c r="D26" s="7" t="inlineStr">
        <is>
          <t>—</t>
        </is>
      </c>
      <c r="E26" s="7" t="inlineStr">
        <is>
          <t>1. Saisir un numéro de série existant
2. Puis le lien complet …/q/SYGEP-MAT-000001</t>
        </is>
      </c>
      <c r="F26" s="7" t="inlineStr">
        <is>
          <t>Dans les deux cas la fiche correspondante s'ouvre.</t>
        </is>
      </c>
      <c r="G26" s="7" t="inlineStr">
        <is>
          <t>Majeur</t>
        </is>
      </c>
      <c r="H26" s="7" t="inlineStr">
        <is>
          <t>OK</t>
        </is>
      </c>
      <c r="I26" s="7" t="inlineStr">
        <is>
          <t>Non testé</t>
        </is>
      </c>
      <c r="J26" s="7" t="n"/>
      <c r="K26" s="7" t="n"/>
      <c r="L26" s="7" t="n"/>
    </row>
    <row r="27">
      <c r="A27" s="7" t="inlineStr">
        <is>
          <t>MAT-23</t>
        </is>
      </c>
      <c r="B27" s="7" t="inlineStr">
        <is>
          <t>Scanner : code inconnu</t>
        </is>
      </c>
      <c r="C27" s="7" t="inlineStr">
        <is>
          <t>MAT (matieres@sygep.test)</t>
        </is>
      </c>
      <c r="D27" s="7" t="inlineStr">
        <is>
          <t>—</t>
        </is>
      </c>
      <c r="E27" s="7" t="inlineStr">
        <is>
          <t>1. Saisir un code inexistant</t>
        </is>
      </c>
      <c r="F27" s="7" t="inlineStr">
        <is>
          <t>Message « Aucune matière ne correspond à … » ; on reste sur le scanner.</t>
        </is>
      </c>
      <c r="G27" s="7" t="inlineStr">
        <is>
          <t>Majeur</t>
        </is>
      </c>
      <c r="H27" s="7" t="inlineStr">
        <is>
          <t>OK</t>
        </is>
      </c>
      <c r="I27" s="7" t="inlineStr">
        <is>
          <t>Non testé</t>
        </is>
      </c>
      <c r="J27" s="7" t="n"/>
      <c r="K27" s="7" t="n"/>
      <c r="L27" s="7" t="n"/>
    </row>
    <row r="28">
      <c r="A28" s="7" t="inlineStr">
        <is>
          <t>MAT-24</t>
        </is>
      </c>
      <c r="B28" s="7" t="inlineStr">
        <is>
          <t>Scanner : caméra en direct</t>
        </is>
      </c>
      <c r="C28" s="7" t="inlineStr">
        <is>
          <t>MAT (matieres@sygep.test)</t>
        </is>
      </c>
      <c r="D28" s="7" t="inlineStr">
        <is>
          <t>Téléphone, site en HTTPS, étiquette imprimée</t>
        </is>
      </c>
      <c r="E28" s="7" t="inlineStr">
        <is>
          <t>1. Appuyer sur Démarrer, autoriser la caméra
2. Viser l'étiquette</t>
        </is>
      </c>
      <c r="F28" s="7" t="inlineStr">
        <is>
          <t>Le téléphone vibre, « Code lu » s'affiche et la fiche s'ouvre.</t>
        </is>
      </c>
      <c r="G28" s="7" t="inlineStr">
        <is>
          <t>Majeur</t>
        </is>
      </c>
      <c r="H28" s="7" t="inlineStr">
        <is>
          <t>Manuel</t>
        </is>
      </c>
      <c r="I28" s="7" t="inlineStr">
        <is>
          <t>Non testé</t>
        </is>
      </c>
      <c r="J28" s="7" t="n"/>
      <c r="K28" s="7" t="n"/>
      <c r="L28" s="7" t="n"/>
    </row>
    <row r="29">
      <c r="A29" s="7" t="inlineStr">
        <is>
          <t>MAT-25</t>
        </is>
      </c>
      <c r="B29" s="7" t="inlineStr">
        <is>
          <t>Scanner : photo d'un QR</t>
        </is>
      </c>
      <c r="C29" s="7" t="inlineStr">
        <is>
          <t>MAT (matieres@sygep.test)</t>
        </is>
      </c>
      <c r="D29" s="7" t="inlineStr">
        <is>
          <t>Une image d'un QR code</t>
        </is>
      </c>
      <c r="E29" s="7" t="inlineStr">
        <is>
          <t>1. Cliquer « Prendre une photo »
2. Choisir l'image</t>
        </is>
      </c>
      <c r="F29" s="7" t="inlineStr">
        <is>
          <t>Le code est lu et la fiche s'ouvre ; une image sans QR affiche un message d'échec.</t>
        </is>
      </c>
      <c r="G29" s="7" t="inlineStr">
        <is>
          <t>Mineur</t>
        </is>
      </c>
      <c r="H29" s="7" t="inlineStr">
        <is>
          <t>Manuel</t>
        </is>
      </c>
      <c r="I29" s="7" t="inlineStr">
        <is>
          <t>Non testé</t>
        </is>
      </c>
      <c r="J29" s="7" t="n"/>
      <c r="K29" s="7" t="n"/>
      <c r="L29" s="7" t="n"/>
    </row>
    <row r="30">
      <c r="A30" s="7" t="inlineStr">
        <is>
          <t>MAT-26</t>
        </is>
      </c>
      <c r="B30" s="7" t="inlineStr">
        <is>
          <t>Page publique d'un QR</t>
        </is>
      </c>
      <c r="C30" s="7" t="inlineStr">
        <is>
          <t>—</t>
        </is>
      </c>
      <c r="D30" s="7" t="inlineStr">
        <is>
          <t>Déconnecté ; code d'une matière connue</t>
        </is>
      </c>
      <c r="E30" s="7" t="inlineStr">
        <is>
          <t>1. Ouvrir /q/SYGEP-MAT-000001</t>
        </is>
      </c>
      <c r="F30" s="7" t="inlineStr">
        <is>
          <t>Une page publique « Propriété du MEFPT » affiche seulement le nom, la catégorie et le code ; aucune information interne (détenteur, état…).</t>
        </is>
      </c>
      <c r="G30" s="7" t="inlineStr">
        <is>
          <t>Critique</t>
        </is>
      </c>
      <c r="H30" s="7" t="inlineStr">
        <is>
          <t>OK</t>
        </is>
      </c>
      <c r="I30" s="7" t="inlineStr">
        <is>
          <t>Non testé</t>
        </is>
      </c>
      <c r="J30" s="7" t="n"/>
      <c r="K30" s="7" t="n"/>
      <c r="L30" s="7" t="n"/>
    </row>
    <row r="31">
      <c r="A31" s="7" t="inlineStr">
        <is>
          <t>MAT-27</t>
        </is>
      </c>
      <c r="B31" s="7" t="inlineStr">
        <is>
          <t>Page publique : code inconnu</t>
        </is>
      </c>
      <c r="C31" s="7" t="inlineStr">
        <is>
          <t>—</t>
        </is>
      </c>
      <c r="D31" s="7" t="inlineStr">
        <is>
          <t>Déconnecté</t>
        </is>
      </c>
      <c r="E31" s="7" t="inlineStr">
        <is>
          <t>1. Ouvrir /q/CODE-INEXISTANT</t>
        </is>
      </c>
      <c r="F31" s="7" t="inlineStr">
        <is>
          <t>Une page « code inconnu » (erreur 404) s'affiche.</t>
        </is>
      </c>
      <c r="G31" s="7" t="inlineStr">
        <is>
          <t>Mineur</t>
        </is>
      </c>
      <c r="H31" s="7" t="inlineStr">
        <is>
          <t>OK</t>
        </is>
      </c>
      <c r="I31" s="7" t="inlineStr">
        <is>
          <t>Non testé</t>
        </is>
      </c>
      <c r="J31" s="7" t="n"/>
      <c r="K31" s="7" t="n"/>
      <c r="L31" s="7" t="n"/>
    </row>
    <row r="32">
      <c r="A32" s="7" t="inlineStr">
        <is>
          <t>MAT-28</t>
        </is>
      </c>
      <c r="B32" s="7" t="inlineStr">
        <is>
          <t>QR scanné par un compte connecté</t>
        </is>
      </c>
      <c r="C32" s="7" t="inlineStr">
        <is>
          <t>MAT (matieres@sygep.test)</t>
        </is>
      </c>
      <c r="D32" s="7" t="inlineStr">
        <is>
          <t>Connecté, droit de voir les matières</t>
        </is>
      </c>
      <c r="E32" s="7" t="inlineStr">
        <is>
          <t>1. Ouvrir /q/SYGEP-MAT-000001</t>
        </is>
      </c>
      <c r="F32" s="7" t="inlineStr">
        <is>
          <t>Redirection vers la fiche de gestion de la matière.</t>
        </is>
      </c>
      <c r="G32" s="7" t="inlineStr">
        <is>
          <t>Majeur</t>
        </is>
      </c>
      <c r="H32" s="7" t="inlineStr">
        <is>
          <t>OK</t>
        </is>
      </c>
      <c r="I32" s="7" t="inlineStr">
        <is>
          <t>Non testé</t>
        </is>
      </c>
      <c r="J32" s="7" t="n"/>
      <c r="K32" s="7" t="n"/>
      <c r="L32" s="7" t="n"/>
    </row>
    <row r="33">
      <c r="A33" s="7" t="inlineStr">
        <is>
          <t>MAT-29</t>
        </is>
      </c>
      <c r="B33" s="7" t="inlineStr">
        <is>
          <t>Historique des matières</t>
        </is>
      </c>
      <c r="C33" s="7" t="inlineStr">
        <is>
          <t>MAT (matieres@sygep.test)</t>
        </is>
      </c>
      <c r="D33" s="7" t="inlineStr">
        <is>
          <t>Quelques opérations réalisées</t>
        </is>
      </c>
      <c r="E33" s="7" t="inlineStr">
        <is>
          <t>1. Historique matières</t>
        </is>
      </c>
      <c r="F33" s="7" t="inlineStr">
        <is>
          <t>Chaque création, affectation, restitution, transfert ou changement d'état apparaît avec date, matière, détenteur, état, emplacement et auteur. Aucun bouton de modification.</t>
        </is>
      </c>
      <c r="G33" s="7" t="inlineStr">
        <is>
          <t>Critique</t>
        </is>
      </c>
      <c r="H33" s="7" t="inlineStr">
        <is>
          <t>OK</t>
        </is>
      </c>
      <c r="I33" s="7" t="inlineStr">
        <is>
          <t>Non testé</t>
        </is>
      </c>
      <c r="J33" s="7" t="n"/>
      <c r="K33" s="7" t="n"/>
      <c r="L33" s="7" t="n"/>
    </row>
    <row r="34">
      <c r="A34" s="7" t="inlineStr">
        <is>
          <t>MAT-30</t>
        </is>
      </c>
      <c r="B34" s="7" t="inlineStr">
        <is>
          <t>Photos et notes dans la fiche</t>
        </is>
      </c>
      <c r="C34" s="7" t="inlineStr">
        <is>
          <t>MAT (matieres@sygep.test)</t>
        </is>
      </c>
      <c r="D34" s="7" t="inlineStr">
        <is>
          <t>Matière avec photo et notes</t>
        </is>
      </c>
      <c r="E34" s="7" t="inlineStr">
        <is>
          <t>1. Ouvrir la fiche</t>
        </is>
      </c>
      <c r="F34" s="7" t="inlineStr">
        <is>
          <t>Les photos, notes, modèle, fournisseur et bon sont affichés.</t>
        </is>
      </c>
      <c r="G34" s="7" t="inlineStr">
        <is>
          <t>Mineur</t>
        </is>
      </c>
      <c r="H34" s="7" t="inlineStr">
        <is>
          <t>Manuel</t>
        </is>
      </c>
      <c r="I34" s="7" t="inlineStr">
        <is>
          <t>Non testé</t>
        </is>
      </c>
      <c r="J34" s="7" t="n"/>
      <c r="K34" s="7" t="n"/>
      <c r="L34" s="7" t="n"/>
    </row>
  </sheetData>
  <autoFilter ref="A4:L34"/>
  <conditionalFormatting sqref="I5:I34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34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AFF – Affectations, restitutions et transferts</t>
        </is>
      </c>
    </row>
    <row r="2">
      <c r="A2" t="inlineStr">
        <is>
          <t>Vérifier la remise de matériel, le bon imprimé, les retours et les statuts qui en découlent.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AFF-01</t>
        </is>
      </c>
      <c r="B5" s="7" t="inlineStr">
        <is>
          <t>Dotation à un agent</t>
        </is>
      </c>
      <c r="C5" s="7" t="inlineStr">
        <is>
          <t>MAT (matieres@sygep.test)</t>
        </is>
      </c>
      <c r="D5" s="7" t="inlineStr">
        <is>
          <t>Une matière Disponible ; un agent</t>
        </is>
      </c>
      <c r="E5" s="7" t="inlineStr">
        <is>
          <t>1. Affectations &gt; Nouvelle affectation
2. Cocher la matière
3. Choisir l'agent ; type « Dotation » ; date du jour
4. Enregistrer</t>
        </is>
      </c>
      <c r="F5" s="7" t="inlineStr">
        <is>
          <t>Un bon AFF-AAAA-nnnn est créé. La matière passe à « Affecté » et l'agent apparaît comme détenteur. L'historique contient une ligne « affectation ».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AFF-02</t>
        </is>
      </c>
      <c r="B6" s="7" t="inlineStr">
        <is>
          <t>Plusieurs matières, un seul bon</t>
        </is>
      </c>
      <c r="C6" s="7" t="inlineStr">
        <is>
          <t>MAT (matieres@sygep.test)</t>
        </is>
      </c>
      <c r="D6" s="7" t="inlineStr">
        <is>
          <t>Trois matières Disponibles</t>
        </is>
      </c>
      <c r="E6" s="7" t="inlineStr">
        <is>
          <t>1. Cocher les trois matières
2. Choisir un agent
3. Enregistrer</t>
        </is>
      </c>
      <c r="F6" s="7" t="inlineStr">
        <is>
          <t>Un seul bon liste les trois matières ; la tuile « Matières affectées » augmente de 3.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AFF-03</t>
        </is>
      </c>
      <c r="B7" s="7" t="inlineStr">
        <is>
          <t>Affectation à un service</t>
        </is>
      </c>
      <c r="C7" s="7" t="inlineStr">
        <is>
          <t>MAT (matieres@sygep.test)</t>
        </is>
      </c>
      <c r="D7" s="7" t="inlineStr">
        <is>
          <t>Une matière Disponible</t>
        </is>
      </c>
      <c r="E7" s="7" t="inlineStr">
        <is>
          <t>1. Choisir « Aucun agent » et un service
2. Enregistrer</t>
        </is>
      </c>
      <c r="F7" s="7" t="inlineStr">
        <is>
          <t>Accepté : le bénéficiaire est le service.</t>
        </is>
      </c>
      <c r="G7" s="7" t="inlineStr">
        <is>
          <t>Majeur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AFF-04</t>
        </is>
      </c>
      <c r="B8" s="7" t="inlineStr">
        <is>
          <t>Aucun bénéficiaire</t>
        </is>
      </c>
      <c r="C8" s="7" t="inlineStr">
        <is>
          <t>MAT (matieres@sygep.test)</t>
        </is>
      </c>
      <c r="D8" s="7" t="inlineStr">
        <is>
          <t>—</t>
        </is>
      </c>
      <c r="E8" s="7" t="inlineStr">
        <is>
          <t>1. Cocher une matière
2. Ne choisir ni agent ni service
3. Enregistrer</t>
        </is>
      </c>
      <c r="F8" s="7" t="inlineStr">
        <is>
          <t>Refus : « Choisissez un agent ou un service bénéficiaire. »</t>
        </is>
      </c>
      <c r="G8" s="7" t="inlineStr">
        <is>
          <t>Critique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AFF-05</t>
        </is>
      </c>
      <c r="B9" s="7" t="inlineStr">
        <is>
          <t>Service repris de l'agent</t>
        </is>
      </c>
      <c r="C9" s="7" t="inlineStr">
        <is>
          <t>MAT (matieres@sygep.test)</t>
        </is>
      </c>
      <c r="D9" s="7" t="inlineStr">
        <is>
          <t>—</t>
        </is>
      </c>
      <c r="E9" s="7" t="inlineStr">
        <is>
          <t>1. Choisir un agent sans choisir de service</t>
        </is>
      </c>
      <c r="F9" s="7" t="inlineStr">
        <is>
          <t>Le champ Service indique « Service de l'agent » (rempli automatiquement) ; le bon porte le service de l'agent.</t>
        </is>
      </c>
      <c r="G9" s="7" t="inlineStr">
        <is>
          <t>Majeur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AFF-06</t>
        </is>
      </c>
      <c r="B10" s="7" t="inlineStr">
        <is>
          <t>Seules les matières disponibles sont proposées</t>
        </is>
      </c>
      <c r="C10" s="7" t="inlineStr">
        <is>
          <t>MAT (matieres@sygep.test)</t>
        </is>
      </c>
      <c r="D10" s="7" t="inlineStr">
        <is>
          <t>Des matières affectées et en panne existent</t>
        </is>
      </c>
      <c r="E10" s="7" t="inlineStr">
        <is>
          <t>1. Ouvrir Nouvelle affectation</t>
        </is>
      </c>
      <c r="F10" s="7" t="inlineStr">
        <is>
          <t>Les matières « Affecté » et « En panne » n'apparaissent pas. S'il n'y en a aucune de disponible, un message l'indique.</t>
        </is>
      </c>
      <c r="G10" s="7" t="inlineStr">
        <is>
          <t>Critique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AFF-07</t>
        </is>
      </c>
      <c r="B11" s="7" t="inlineStr">
        <is>
          <t>Aucune matière cochée</t>
        </is>
      </c>
      <c r="C11" s="7" t="inlineStr">
        <is>
          <t>MAT (matieres@sygep.test)</t>
        </is>
      </c>
      <c r="D11" s="7" t="inlineStr">
        <is>
          <t>—</t>
        </is>
      </c>
      <c r="E11" s="7" t="inlineStr">
        <is>
          <t>1. Choisir un agent mais ne cocher aucune matière
2. Enregistrer</t>
        </is>
      </c>
      <c r="F11" s="7" t="inlineStr">
        <is>
          <t>Refus : « Sélectionnez au moins une matière. »</t>
        </is>
      </c>
      <c r="G11" s="7" t="inlineStr">
        <is>
          <t>Critique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AFF-08</t>
        </is>
      </c>
      <c r="B12" s="7" t="inlineStr">
        <is>
          <t>Temporaire sans date de retour</t>
        </is>
      </c>
      <c r="C12" s="7" t="inlineStr">
        <is>
          <t>MAT (matieres@sygep.test)</t>
        </is>
      </c>
      <c r="D12" s="7" t="inlineStr">
        <is>
          <t>—</t>
        </is>
      </c>
      <c r="E12" s="7" t="inlineStr">
        <is>
          <t>1. Type « Mise à disposition temporaire »
2. Laisser « Retour prévu » vide
3. Enregistrer</t>
        </is>
      </c>
      <c r="F12" s="7" t="inlineStr">
        <is>
          <t>Refus : date de retour prévue obligatoire pour ce type.</t>
        </is>
      </c>
      <c r="G12" s="7" t="inlineStr">
        <is>
          <t>Critique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AFF-09</t>
        </is>
      </c>
      <c r="B13" s="7" t="inlineStr">
        <is>
          <t>Dotation sans date de retour</t>
        </is>
      </c>
      <c r="C13" s="7" t="inlineStr">
        <is>
          <t>MAT (matieres@sygep.test)</t>
        </is>
      </c>
      <c r="D13" s="7" t="inlineStr">
        <is>
          <t>—</t>
        </is>
      </c>
      <c r="E13" s="7" t="inlineStr">
        <is>
          <t>1. Type « Dotation »
2. Laisser « Retour prévu » vide</t>
        </is>
      </c>
      <c r="F13" s="7" t="inlineStr">
        <is>
          <t>Accepté.</t>
        </is>
      </c>
      <c r="G13" s="7" t="inlineStr">
        <is>
          <t>Majeur</t>
        </is>
      </c>
      <c r="H13" s="7" t="inlineStr">
        <is>
          <t>OK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AFF-10</t>
        </is>
      </c>
      <c r="B14" s="7" t="inlineStr">
        <is>
          <t>Retour avant l'affectation</t>
        </is>
      </c>
      <c r="C14" s="7" t="inlineStr">
        <is>
          <t>MAT (matieres@sygep.test)</t>
        </is>
      </c>
      <c r="D14" s="7" t="inlineStr">
        <is>
          <t>—</t>
        </is>
      </c>
      <c r="E14" s="7" t="inlineStr">
        <is>
          <t>1. Date d'affectation 20/10, retour prévu 10/10
2. Enregistrer</t>
        </is>
      </c>
      <c r="F14" s="7" t="inlineStr">
        <is>
          <t>Refus : la date de retour doit suivre la date d'affectation.</t>
        </is>
      </c>
      <c r="G14" s="7" t="inlineStr">
        <is>
          <t>Majeur</t>
        </is>
      </c>
      <c r="H14" s="7" t="inlineStr">
        <is>
          <t>OK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AFF-11</t>
        </is>
      </c>
      <c r="B15" s="7" t="inlineStr">
        <is>
          <t>Bon imprimé</t>
        </is>
      </c>
      <c r="C15" s="7" t="inlineStr">
        <is>
          <t>MAT (matieres@sygep.test)</t>
        </is>
      </c>
      <c r="D15" s="7" t="inlineStr">
        <is>
          <t>Une affectation existe</t>
        </is>
      </c>
      <c r="E15" s="7" t="inlineStr">
        <is>
          <t>1. Fiche de l'affectation &gt; Imprimer le bon</t>
        </is>
      </c>
      <c r="F15" s="7" t="inlineStr">
        <is>
          <t>Le bon affiche : en-tête République, numéro et date, bénéficiaire, conditions, tableau des matières (code, désignation, catégorie, série, modèle), texte d'engagement, signatures « Remis par » / « Reçu par ».</t>
        </is>
      </c>
      <c r="G15" s="7" t="inlineStr">
        <is>
          <t>Critique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AFF-12</t>
        </is>
      </c>
      <c r="B16" s="7" t="inlineStr">
        <is>
          <t>Restitution partielle</t>
        </is>
      </c>
      <c r="C16" s="7" t="inlineStr">
        <is>
          <t>CPT (comptable@sygep.test)</t>
        </is>
      </c>
      <c r="D16" s="7" t="inlineStr">
        <is>
          <t>Affectation de 3 matières</t>
        </is>
      </c>
      <c r="E16" s="7" t="inlineStr">
        <is>
          <t>1. Fiche &gt; Restituer
2. Cocher une seule matière
3. État « Bon état », date du jour
4. Enregistrer</t>
        </is>
      </c>
      <c r="F16" s="7" t="inlineStr">
        <is>
          <t>La matière redevient Disponible, sans détenteur. L'affectation passe à « Partielle ».</t>
        </is>
      </c>
      <c r="G16" s="7" t="inlineStr">
        <is>
          <t>Critique</t>
        </is>
      </c>
      <c r="H16" s="7" t="inlineStr">
        <is>
          <t>OK</t>
        </is>
      </c>
      <c r="I16" s="7" t="inlineStr">
        <is>
          <t>Non testé</t>
        </is>
      </c>
      <c r="J16" s="7" t="n"/>
      <c r="K16" s="7" t="n"/>
      <c r="L16" s="7" t="n"/>
    </row>
    <row r="17">
      <c r="A17" s="7" t="inlineStr">
        <is>
          <t>AFF-13</t>
        </is>
      </c>
      <c r="B17" s="7" t="inlineStr">
        <is>
          <t>Restitution complète</t>
        </is>
      </c>
      <c r="C17" s="7" t="inlineStr">
        <is>
          <t>CPT (comptable@sygep.test)</t>
        </is>
      </c>
      <c r="D17" s="7" t="inlineStr">
        <is>
          <t>Affectation partielle (AFF-12)</t>
        </is>
      </c>
      <c r="E17" s="7" t="inlineStr">
        <is>
          <t>1. Restituer les matières restantes</t>
        </is>
      </c>
      <c r="F17" s="7" t="inlineStr">
        <is>
          <t>L'affectation passe à « Restituée ». Toutes les matières sont Disponibles.</t>
        </is>
      </c>
      <c r="G17" s="7" t="inlineStr">
        <is>
          <t>Critique</t>
        </is>
      </c>
      <c r="H17" s="7" t="inlineStr">
        <is>
          <t>OK</t>
        </is>
      </c>
      <c r="I17" s="7" t="inlineStr">
        <is>
          <t>Non testé</t>
        </is>
      </c>
      <c r="J17" s="7" t="n"/>
      <c r="K17" s="7" t="n"/>
      <c r="L17" s="7" t="n"/>
    </row>
    <row r="18">
      <c r="A18" s="7" t="inlineStr">
        <is>
          <t>AFF-14</t>
        </is>
      </c>
      <c r="B18" s="7" t="inlineStr">
        <is>
          <t>Restitution d'une matière endommagée</t>
        </is>
      </c>
      <c r="C18" s="7" t="inlineStr">
        <is>
          <t>CPT (comptable@sygep.test)</t>
        </is>
      </c>
      <c r="D18" s="7" t="inlineStr">
        <is>
          <t>Une affectation ouverte</t>
        </is>
      </c>
      <c r="E18" s="7" t="inlineStr">
        <is>
          <t>1. Restituer avec l'état « Endommagé »</t>
        </is>
      </c>
      <c r="F18" s="7" t="inlineStr">
        <is>
          <t>La matière passe à « En panne », pas à « Disponible ».</t>
        </is>
      </c>
      <c r="G18" s="7" t="inlineStr">
        <is>
          <t>Critique</t>
        </is>
      </c>
      <c r="H18" s="7" t="inlineStr">
        <is>
          <t>OK</t>
        </is>
      </c>
      <c r="I18" s="7" t="inlineStr">
        <is>
          <t>Non testé</t>
        </is>
      </c>
      <c r="J18" s="7" t="n"/>
      <c r="K18" s="7" t="n"/>
      <c r="L18" s="7" t="n"/>
    </row>
    <row r="19">
      <c r="A19" s="7" t="inlineStr">
        <is>
          <t>AFF-15</t>
        </is>
      </c>
      <c r="B19" s="7" t="inlineStr">
        <is>
          <t>Restitution sans matière cochée</t>
        </is>
      </c>
      <c r="C19" s="7" t="inlineStr">
        <is>
          <t>CPT (comptable@sygep.test)</t>
        </is>
      </c>
      <c r="D19" s="7" t="inlineStr">
        <is>
          <t>—</t>
        </is>
      </c>
      <c r="E19" s="7" t="inlineStr">
        <is>
          <t>1. Restituer sans cocher de matière</t>
        </is>
      </c>
      <c r="F19" s="7" t="inlineStr">
        <is>
          <t>Refus : « Cochez au moins une matière à restituer. »</t>
        </is>
      </c>
      <c r="G19" s="7" t="inlineStr">
        <is>
          <t>Majeur</t>
        </is>
      </c>
      <c r="H19" s="7" t="inlineStr">
        <is>
          <t>OK</t>
        </is>
      </c>
      <c r="I19" s="7" t="inlineStr">
        <is>
          <t>Non testé</t>
        </is>
      </c>
      <c r="J19" s="7" t="n"/>
      <c r="K19" s="7" t="n"/>
      <c r="L19" s="7" t="n"/>
    </row>
    <row r="20">
      <c r="A20" s="7" t="inlineStr">
        <is>
          <t>AFF-16</t>
        </is>
      </c>
      <c r="B20" s="7" t="inlineStr">
        <is>
          <t>Restitution à date future</t>
        </is>
      </c>
      <c r="C20" s="7" t="inlineStr">
        <is>
          <t>CPT (comptable@sygep.test)</t>
        </is>
      </c>
      <c r="D20" s="7" t="inlineStr">
        <is>
          <t>—</t>
        </is>
      </c>
      <c r="E20" s="7" t="inlineStr">
        <is>
          <t>1. Saisir une date de retour de demain</t>
        </is>
      </c>
      <c r="F20" s="7" t="inlineStr">
        <is>
          <t>Refus : « La date de retour ne peut pas être dans le futur. »</t>
        </is>
      </c>
      <c r="G20" s="7" t="inlineStr">
        <is>
          <t>Majeur</t>
        </is>
      </c>
      <c r="H20" s="7" t="inlineStr">
        <is>
          <t>OK</t>
        </is>
      </c>
      <c r="I20" s="7" t="inlineStr">
        <is>
          <t>Non testé</t>
        </is>
      </c>
      <c r="J20" s="7" t="n"/>
      <c r="K20" s="7" t="n"/>
      <c r="L20" s="7" t="n"/>
    </row>
    <row r="21">
      <c r="A21" s="7" t="inlineStr">
        <is>
          <t>AFF-17</t>
        </is>
      </c>
      <c r="B21" s="7" t="inlineStr">
        <is>
          <t>Retard de restitution</t>
        </is>
      </c>
      <c r="C21" s="7" t="inlineStr">
        <is>
          <t>CPT (comptable@sygep.test)</t>
        </is>
      </c>
      <c r="D21" s="7" t="inlineStr">
        <is>
          <t>Affectation temporaire avec retour prévu dépassé (jeu de démonstration)</t>
        </is>
      </c>
      <c r="E21" s="7" t="inlineStr">
        <is>
          <t>1. Affectations &gt; onglet « En retard »
2. Tableau de bord</t>
        </is>
      </c>
      <c r="F21" s="7" t="inlineStr">
        <is>
          <t>L'affectation figure dans « En retard » ; la tuile « Retours en retard » la compte.</t>
        </is>
      </c>
      <c r="G21" s="7" t="inlineStr">
        <is>
          <t>Majeur</t>
        </is>
      </c>
      <c r="H21" s="7" t="inlineStr">
        <is>
          <t>OK</t>
        </is>
      </c>
      <c r="I21" s="7" t="inlineStr">
        <is>
          <t>Non testé</t>
        </is>
      </c>
      <c r="J21" s="7" t="n"/>
      <c r="K21" s="7" t="n"/>
      <c r="L21" s="7" t="n"/>
    </row>
    <row r="22">
      <c r="A22" s="7" t="inlineStr">
        <is>
          <t>AFF-18</t>
        </is>
      </c>
      <c r="B22" s="7" t="inlineStr">
        <is>
          <t>Transférer une matière</t>
        </is>
      </c>
      <c r="C22" s="7" t="inlineStr">
        <is>
          <t>CPT (comptable@sygep.test)</t>
        </is>
      </c>
      <c r="D22" s="7" t="inlineStr">
        <is>
          <t>Une matière détenue par l'agent A</t>
        </is>
      </c>
      <c r="E22" s="7" t="inlineStr">
        <is>
          <t>1. Fiche de la matière &gt; Transférer
2. Choisir l'agent B
3. Enregistrer</t>
        </is>
      </c>
      <c r="F22" s="7" t="inlineStr">
        <is>
          <t>L'ancienne affectation est clôturée pour cette matière (condition « Transféré »). Un nouveau bon est créé au nom de B. L'historique contient « transfert ».</t>
        </is>
      </c>
      <c r="G22" s="7" t="inlineStr">
        <is>
          <t>Majeur</t>
        </is>
      </c>
      <c r="H22" s="7" t="inlineStr">
        <is>
          <t>OK</t>
        </is>
      </c>
      <c r="I22" s="7" t="inlineStr">
        <is>
          <t>Non testé</t>
        </is>
      </c>
      <c r="J22" s="7" t="n"/>
      <c r="K22" s="7" t="n"/>
      <c r="L22" s="7" t="n"/>
    </row>
    <row r="23">
      <c r="A23" s="7" t="inlineStr">
        <is>
          <t>AFF-19</t>
        </is>
      </c>
      <c r="B23" s="7" t="inlineStr">
        <is>
          <t>Transfert sans bénéficiaire</t>
        </is>
      </c>
      <c r="C23" s="7" t="inlineStr">
        <is>
          <t>CPT (comptable@sygep.test)</t>
        </is>
      </c>
      <c r="D23" s="7" t="inlineStr">
        <is>
          <t>—</t>
        </is>
      </c>
      <c r="E23" s="7" t="inlineStr">
        <is>
          <t>1. Transférer sans choisir ni agent ni service</t>
        </is>
      </c>
      <c r="F23" s="7" t="inlineStr">
        <is>
          <t>Refus : « Choisissez le nouvel agent ou service bénéficiaire. »</t>
        </is>
      </c>
      <c r="G23" s="7" t="inlineStr">
        <is>
          <t>Majeur</t>
        </is>
      </c>
      <c r="H23" s="7" t="inlineStr">
        <is>
          <t>OK</t>
        </is>
      </c>
      <c r="I23" s="7" t="inlineStr">
        <is>
          <t>Non testé</t>
        </is>
      </c>
      <c r="J23" s="7" t="n"/>
      <c r="K23" s="7" t="n"/>
      <c r="L23" s="7" t="n"/>
    </row>
    <row r="24">
      <c r="A24" s="7" t="inlineStr">
        <is>
          <t>AFF-20</t>
        </is>
      </c>
      <c r="B24" s="7" t="inlineStr">
        <is>
          <t>Supprimer un bon</t>
        </is>
      </c>
      <c r="C24" s="7" t="inlineStr">
        <is>
          <t>CPT (comptable@sygep.test)</t>
        </is>
      </c>
      <c r="D24" s="7" t="inlineStr">
        <is>
          <t>Une affectation ouverte (de test)</t>
        </is>
      </c>
      <c r="E24" s="7" t="inlineStr">
        <is>
          <t>1. Fiche &gt; Supprimer ce bon
2. Confirmer</t>
        </is>
      </c>
      <c r="F24" s="7" t="inlineStr">
        <is>
          <t>Les matières encore détenues redeviennent Disponibles.</t>
        </is>
      </c>
      <c r="G24" s="7" t="inlineStr">
        <is>
          <t>Majeur</t>
        </is>
      </c>
      <c r="H24" s="7" t="inlineStr">
        <is>
          <t>OK</t>
        </is>
      </c>
      <c r="I24" s="7" t="inlineStr">
        <is>
          <t>Non testé</t>
        </is>
      </c>
      <c r="J24" s="7" t="n"/>
      <c r="K24" s="7" t="n"/>
      <c r="L24" s="7" t="n"/>
    </row>
    <row r="25">
      <c r="A25" s="7" t="inlineStr">
        <is>
          <t>AFF-21</t>
        </is>
      </c>
      <c r="B25" s="7" t="inlineStr">
        <is>
          <t>Modifier une affectation</t>
        </is>
      </c>
      <c r="C25" s="7" t="inlineStr">
        <is>
          <t>CPT (comptable@sygep.test)</t>
        </is>
      </c>
      <c r="D25" s="7" t="inlineStr">
        <is>
          <t>Une affectation existe</t>
        </is>
      </c>
      <c r="E25" s="7" t="inlineStr">
        <is>
          <t>1. Modifier : changer le motif et la date de retour prévue
2. Enregistrer</t>
        </is>
      </c>
      <c r="F25" s="7" t="inlineStr">
        <is>
          <t>Les modifications sont enregistrées, avec les mêmes règles de dates.</t>
        </is>
      </c>
      <c r="G25" s="7" t="inlineStr">
        <is>
          <t>Mineur</t>
        </is>
      </c>
      <c r="H25" s="7" t="inlineStr">
        <is>
          <t>OK</t>
        </is>
      </c>
      <c r="I25" s="7" t="inlineStr">
        <is>
          <t>Non testé</t>
        </is>
      </c>
      <c r="J25" s="7" t="n"/>
      <c r="K25" s="7" t="n"/>
      <c r="L25" s="7" t="n"/>
    </row>
    <row r="26">
      <c r="A26" s="7" t="inlineStr">
        <is>
          <t>AFF-22</t>
        </is>
      </c>
      <c r="B26" s="7" t="inlineStr">
        <is>
          <t>Filtres de la liste</t>
        </is>
      </c>
      <c r="C26" s="7" t="inlineStr">
        <is>
          <t>CPT (comptable@sygep.test)</t>
        </is>
      </c>
      <c r="D26" s="7" t="inlineStr">
        <is>
          <t>Jeu de démonstration</t>
        </is>
      </c>
      <c r="E26" s="7" t="inlineStr">
        <is>
          <t>1. Cliquer les onglets En cours / En retard / Restituées / Toutes</t>
        </is>
      </c>
      <c r="F26" s="7" t="inlineStr">
        <is>
          <t>Les compteurs des onglets correspondent au contenu de la liste.</t>
        </is>
      </c>
      <c r="G26" s="7" t="inlineStr">
        <is>
          <t>Mineur</t>
        </is>
      </c>
      <c r="H26" s="7" t="inlineStr">
        <is>
          <t>OK</t>
        </is>
      </c>
      <c r="I26" s="7" t="inlineStr">
        <is>
          <t>Non testé</t>
        </is>
      </c>
      <c r="J26" s="7" t="n"/>
      <c r="K26" s="7" t="n"/>
      <c r="L26" s="7" t="n"/>
    </row>
    <row r="27">
      <c r="A27" s="7" t="inlineStr">
        <is>
          <t>AFF-23</t>
        </is>
      </c>
      <c r="B27" s="7" t="inlineStr">
        <is>
          <t>Périmètre du comptable secondaire</t>
        </is>
      </c>
      <c r="C27" s="7" t="inlineStr">
        <is>
          <t>SEC (secondaire@sygep.test)</t>
        </is>
      </c>
      <c r="D27" s="7" t="inlineStr">
        <is>
          <t>Affectations de plusieurs services</t>
        </is>
      </c>
      <c r="E27" s="7" t="inlineStr">
        <is>
          <t>1. Se connecter en SEC
2. Ouvrir Affectations</t>
        </is>
      </c>
      <c r="F27" s="7" t="inlineStr">
        <is>
          <t>Seules les affectations du service « CFP de Thiès » sont visibles.</t>
        </is>
      </c>
      <c r="G27" s="7" t="inlineStr">
        <is>
          <t>Critique</t>
        </is>
      </c>
      <c r="H27" s="7" t="inlineStr">
        <is>
          <t>OK</t>
        </is>
      </c>
      <c r="I27" s="7" t="inlineStr">
        <is>
          <t>Non testé</t>
        </is>
      </c>
      <c r="J27" s="7" t="n"/>
      <c r="K27" s="7" t="n"/>
      <c r="L27" s="7" t="n"/>
    </row>
    <row r="28">
      <c r="A28" s="7" t="inlineStr">
        <is>
          <t>AFF-24</t>
        </is>
      </c>
      <c r="B28" s="7" t="inlineStr">
        <is>
          <t>Redistribuer au sein de son service (transfert)</t>
        </is>
      </c>
      <c r="C28" s="7" t="inlineStr">
        <is>
          <t>SEC (secondaire@sygep.test)</t>
        </is>
      </c>
      <c r="D28" s="7" t="inlineStr">
        <is>
          <t>Une matière détenue par le service « CFP de Thiès » (sans agent précis)</t>
        </is>
      </c>
      <c r="E28" s="7" t="inlineStr">
        <is>
          <t>1. Fiche de la matière &gt; Transférer
2. Choisir un agent du CFP de Thiès
3. Enregistrer</t>
        </is>
      </c>
      <c r="F28" s="7" t="inlineStr">
        <is>
          <t>Accepté : un bon est créé au nom de l'agent, la matière reste « Affecté » et rattachée au service. (Le comptable secondaire redistribue ainsi le matériel que le magasin central a remis à son service.)</t>
        </is>
      </c>
      <c r="G28" s="7" t="inlineStr">
        <is>
          <t>Critique</t>
        </is>
      </c>
      <c r="H28" s="7" t="inlineStr">
        <is>
          <t>OK</t>
        </is>
      </c>
      <c r="I28" s="7" t="inlineStr">
        <is>
          <t>Non testé</t>
        </is>
      </c>
      <c r="J28" s="7" t="n"/>
      <c r="K28" s="7" t="n"/>
      <c r="L28" s="7" t="n"/>
    </row>
    <row r="29">
      <c r="A29" s="7" t="inlineStr">
        <is>
          <t>AFF-25</t>
        </is>
      </c>
      <c r="B29" s="7" t="inlineStr">
        <is>
          <t>Impossible de transférer hors de son service</t>
        </is>
      </c>
      <c r="C29" s="7" t="inlineStr">
        <is>
          <t>SEC (secondaire@sygep.test)</t>
        </is>
      </c>
      <c r="D29" s="7" t="inlineStr">
        <is>
          <t>Une matière du CFP de Thiès ; un agent d'un AUTRE service</t>
        </is>
      </c>
      <c r="E29" s="7" t="inlineStr">
        <is>
          <t>1. Tenter le transfert vers cet agent (ou saisir son identifiant)</t>
        </is>
      </c>
      <c r="F29" s="7" t="inlineStr">
        <is>
          <t>Impossible : l'agent d'un autre service n'est pas accessible (erreur 404) ; aucun bon n'est créé et la matière ne change pas de service.</t>
        </is>
      </c>
      <c r="G29" s="7" t="inlineStr">
        <is>
          <t>Critique</t>
        </is>
      </c>
      <c r="H29" s="7" t="inlineStr">
        <is>
          <t>OK</t>
        </is>
      </c>
      <c r="I29" s="7" t="inlineStr">
        <is>
          <t>Non testé</t>
        </is>
      </c>
      <c r="J29" s="7" t="n"/>
      <c r="K29" s="7" t="n"/>
      <c r="L29" s="7" t="n"/>
    </row>
  </sheetData>
  <autoFilter ref="A4:L29"/>
  <conditionalFormatting sqref="I5:I29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29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INV – Inventaires</t>
        </is>
      </c>
    </row>
    <row r="2">
      <c r="A2" t="inlineStr">
        <is>
          <t>Vérifier les campagnes de contrôle physique, du démarrage au procès-verbal.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INV-01</t>
        </is>
      </c>
      <c r="B5" s="7" t="inlineStr">
        <is>
          <t>Créer une campagne sur tout le parc</t>
        </is>
      </c>
      <c r="C5" s="7" t="inlineStr">
        <is>
          <t>CPT (comptable@sygep.test)</t>
        </is>
      </c>
      <c r="D5" s="7" t="inlineStr">
        <is>
          <t>—</t>
        </is>
      </c>
      <c r="E5" s="7" t="inlineStr">
        <is>
          <t>1. Inventaires &gt; Ajouter
2. Nom seulement ; laisser emplacement, service et catégorie sur « Tous »
3. Enregistrer</t>
        </is>
      </c>
      <c r="F5" s="7" t="inlineStr">
        <is>
          <t>La campagne INV-AAAA-nn est créée « En préparation ».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INV-02</t>
        </is>
      </c>
      <c r="B6" s="7" t="inlineStr">
        <is>
          <t>Campagne sans nom</t>
        </is>
      </c>
      <c r="C6" s="7" t="inlineStr">
        <is>
          <t>CPT (comptable@sygep.test)</t>
        </is>
      </c>
      <c r="D6" s="7" t="inlineStr">
        <is>
          <t>—</t>
        </is>
      </c>
      <c r="E6" s="7" t="inlineStr">
        <is>
          <t>1. Ajouter une campagne sans nom</t>
        </is>
      </c>
      <c r="F6" s="7" t="inlineStr">
        <is>
          <t>Refus : « Donnez un nom à la campagne. »</t>
        </is>
      </c>
      <c r="G6" s="7" t="inlineStr">
        <is>
          <t>Majeur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INV-03</t>
        </is>
      </c>
      <c r="B7" s="7" t="inlineStr">
        <is>
          <t>Fin avant le début</t>
        </is>
      </c>
      <c r="C7" s="7" t="inlineStr">
        <is>
          <t>CPT (comptable@sygep.test)</t>
        </is>
      </c>
      <c r="D7" s="7" t="inlineStr">
        <is>
          <t>—</t>
        </is>
      </c>
      <c r="E7" s="7" t="inlineStr">
        <is>
          <t>1. Début prévu 20/10, fin prévue 10/10</t>
        </is>
      </c>
      <c r="F7" s="7" t="inlineStr">
        <is>
          <t>Refus : « La date de fin doit suivre la date de début. »</t>
        </is>
      </c>
      <c r="G7" s="7" t="inlineStr">
        <is>
          <t>Majeur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INV-04</t>
        </is>
      </c>
      <c r="B8" s="7" t="inlineStr">
        <is>
          <t>Démarrer avec un périmètre</t>
        </is>
      </c>
      <c r="C8" s="7" t="inlineStr">
        <is>
          <t>CPT (comptable@sygep.test)</t>
        </is>
      </c>
      <c r="D8" s="7" t="inlineStr">
        <is>
          <t>Campagne limitée au service « CFP de Thiès »</t>
        </is>
      </c>
      <c r="E8" s="7" t="inlineStr">
        <is>
          <t>1. Cliquer « Démarrer la campagne »</t>
        </is>
      </c>
      <c r="F8" s="7" t="inlineStr">
        <is>
          <t>La campagne passe « En cours ». Le tableau liste exactement les matières du service, toutes « À contrôler ».</t>
        </is>
      </c>
      <c r="G8" s="7" t="inlineStr">
        <is>
          <t>Critique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INV-05</t>
        </is>
      </c>
      <c r="B9" s="7" t="inlineStr">
        <is>
          <t>Pointer à la main</t>
        </is>
      </c>
      <c r="C9" s="7" t="inlineStr">
        <is>
          <t>SEC (secondaire@sygep.test)</t>
        </is>
      </c>
      <c r="D9" s="7" t="inlineStr">
        <is>
          <t>Campagne en cours</t>
        </is>
      </c>
      <c r="E9" s="7" t="inlineStr">
        <is>
          <t>1. Cliquer « Pointer » sur une matière</t>
        </is>
      </c>
      <c r="F9" s="7" t="inlineStr">
        <is>
          <t>La matière passe « Contrôlée » ; l'avancement augmente.</t>
        </is>
      </c>
      <c r="G9" s="7" t="inlineStr">
        <is>
          <t>Critique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INV-06</t>
        </is>
      </c>
      <c r="B10" s="7" t="inlineStr">
        <is>
          <t>Scanner une matière attendue</t>
        </is>
      </c>
      <c r="C10" s="7" t="inlineStr">
        <is>
          <t>SEC (secondaire@sygep.test)</t>
        </is>
      </c>
      <c r="D10" s="7" t="inlineStr">
        <is>
          <t>Campagne en cours</t>
        </is>
      </c>
      <c r="E10" s="7" t="inlineStr">
        <is>
          <t>1. Scanner &gt; saisir le code d'une matière attendue
2. État « Bon état »</t>
        </is>
      </c>
      <c r="F10" s="7" t="inlineStr">
        <is>
          <t>Message « Contrôlée : … » ; la matière est contrôlée.</t>
        </is>
      </c>
      <c r="G10" s="7" t="inlineStr">
        <is>
          <t>Critique</t>
        </is>
      </c>
      <c r="H10" s="7" t="inlineStr">
        <is>
          <t>Manuel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INV-07</t>
        </is>
      </c>
      <c r="B11" s="7" t="inlineStr">
        <is>
          <t>Lire deux fois la même matière</t>
        </is>
      </c>
      <c r="C11" s="7" t="inlineStr">
        <is>
          <t>SEC (secondaire@sygep.test)</t>
        </is>
      </c>
      <c r="D11" s="7" t="inlineStr">
        <is>
          <t>Matière déjà contrôlée</t>
        </is>
      </c>
      <c r="E11" s="7" t="inlineStr">
        <is>
          <t>1. Saisir de nouveau son code</t>
        </is>
      </c>
      <c r="F11" s="7" t="inlineStr">
        <is>
          <t>Message « Déjà contrôlée » ; rien n'est doublé.</t>
        </is>
      </c>
      <c r="G11" s="7" t="inlineStr">
        <is>
          <t>Majeur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INV-08</t>
        </is>
      </c>
      <c r="B12" s="7" t="inlineStr">
        <is>
          <t>Matière hors périmètre</t>
        </is>
      </c>
      <c r="C12" s="7" t="inlineStr">
        <is>
          <t>SEC (secondaire@sygep.test)</t>
        </is>
      </c>
      <c r="D12" s="7" t="inlineStr">
        <is>
          <t>Une matière d'un autre emplacement ou service</t>
        </is>
      </c>
      <c r="E12" s="7" t="inlineStr">
        <is>
          <t>1. Saisir son code dans le scanner</t>
        </is>
      </c>
      <c r="F12" s="7" t="inlineStr">
        <is>
          <t>Message « Hors périmètre, ajoutée à la campagne » ; elle apparaît dans l'onglet Écarts.</t>
        </is>
      </c>
      <c r="G12" s="7" t="inlineStr">
        <is>
          <t>Majeur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INV-09</t>
        </is>
      </c>
      <c r="B13" s="7" t="inlineStr">
        <is>
          <t>Code inconnu</t>
        </is>
      </c>
      <c r="C13" s="7" t="inlineStr">
        <is>
          <t>SEC (secondaire@sygep.test)</t>
        </is>
      </c>
      <c r="D13" s="7" t="inlineStr">
        <is>
          <t>—</t>
        </is>
      </c>
      <c r="E13" s="7" t="inlineStr">
        <is>
          <t>1. Saisir un code inexistant</t>
        </is>
      </c>
      <c r="F13" s="7" t="inlineStr">
        <is>
          <t>Message « Code inconnu » ; aucune ligne créée.</t>
        </is>
      </c>
      <c r="G13" s="7" t="inlineStr">
        <is>
          <t>Mineur</t>
        </is>
      </c>
      <c r="H13" s="7" t="inlineStr">
        <is>
          <t>OK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INV-10</t>
        </is>
      </c>
      <c r="B14" s="7" t="inlineStr">
        <is>
          <t>Clôture réservée</t>
        </is>
      </c>
      <c r="C14" s="7" t="inlineStr">
        <is>
          <t>MAT (matieres@sygep.test)</t>
        </is>
      </c>
      <c r="D14" s="7" t="inlineStr">
        <is>
          <t>Campagne en cours</t>
        </is>
      </c>
      <c r="E14" s="7" t="inlineStr">
        <is>
          <t>1. Se connecter en MAT (administrateur des matières)
2. Ouvrir la campagne</t>
        </is>
      </c>
      <c r="F14" s="7" t="inlineStr">
        <is>
          <t>Le bouton « Clôturer la campagne » n'est pas proposé (droit réservé au comptable principal).</t>
        </is>
      </c>
      <c r="G14" s="7" t="inlineStr">
        <is>
          <t>Critique</t>
        </is>
      </c>
      <c r="H14" s="7" t="inlineStr">
        <is>
          <t>OK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INV-11</t>
        </is>
      </c>
      <c r="B15" s="7" t="inlineStr">
        <is>
          <t>Clôturer : non vues = manquantes</t>
        </is>
      </c>
      <c r="C15" s="7" t="inlineStr">
        <is>
          <t>CPT (comptable@sygep.test)</t>
        </is>
      </c>
      <c r="D15" s="7" t="inlineStr">
        <is>
          <t>Campagne en cours avec des matières non contrôlées</t>
        </is>
      </c>
      <c r="E15" s="7" t="inlineStr">
        <is>
          <t>1. Clôturer la campagne</t>
        </is>
      </c>
      <c r="F15" s="7" t="inlineStr">
        <is>
          <t>Les matières non contrôlées passent « Manquante ». La campagne est « Clôturée ».</t>
        </is>
      </c>
      <c r="G15" s="7" t="inlineStr">
        <is>
          <t>Critique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INV-12</t>
        </is>
      </c>
      <c r="B16" s="7" t="inlineStr">
        <is>
          <t>Clôture avec mise à jour des fiches</t>
        </is>
      </c>
      <c r="C16" s="7" t="inlineStr">
        <is>
          <t>CPT (comptable@sygep.test)</t>
        </is>
      </c>
      <c r="D16" s="7" t="inlineStr">
        <is>
          <t>Une matière contrôlée à un autre lieu que prévu ; une matière contrôlée « Hors service »</t>
        </is>
      </c>
      <c r="E16" s="7" t="inlineStr">
        <is>
          <t>1. Clôturer avec « Mettre à jour les fiches » coché
2. Ouvrir les deux matières</t>
        </is>
      </c>
      <c r="F16" s="7" t="inlineStr">
        <is>
          <t>L'emplacement de la première est corrigé ; la seconde passe « En panne ». Chaque correction figure dans l'historique (« Mise à jour suite à l'inventaire … »).</t>
        </is>
      </c>
      <c r="G16" s="7" t="inlineStr">
        <is>
          <t>Critique</t>
        </is>
      </c>
      <c r="H16" s="7" t="inlineStr">
        <is>
          <t>OK</t>
        </is>
      </c>
      <c r="I16" s="7" t="inlineStr">
        <is>
          <t>Non testé</t>
        </is>
      </c>
      <c r="J16" s="7" t="n"/>
      <c r="K16" s="7" t="n"/>
      <c r="L16" s="7" t="n"/>
    </row>
    <row r="17">
      <c r="A17" s="7" t="inlineStr">
        <is>
          <t>INV-13</t>
        </is>
      </c>
      <c r="B17" s="7" t="inlineStr">
        <is>
          <t>Clôture sans mise à jour</t>
        </is>
      </c>
      <c r="C17" s="7" t="inlineStr">
        <is>
          <t>CPT (comptable@sygep.test)</t>
        </is>
      </c>
      <c r="D17" s="7" t="inlineStr">
        <is>
          <t>Mêmes conditions</t>
        </is>
      </c>
      <c r="E17" s="7" t="inlineStr">
        <is>
          <t>1. Clôturer en décochant « Mettre à jour les fiches »</t>
        </is>
      </c>
      <c r="F17" s="7" t="inlineStr">
        <is>
          <t>Les fiches des matières ne changent pas.</t>
        </is>
      </c>
      <c r="G17" s="7" t="inlineStr">
        <is>
          <t>Majeur</t>
        </is>
      </c>
      <c r="H17" s="7" t="inlineStr">
        <is>
          <t>OK</t>
        </is>
      </c>
      <c r="I17" s="7" t="inlineStr">
        <is>
          <t>Non testé</t>
        </is>
      </c>
      <c r="J17" s="7" t="n"/>
      <c r="K17" s="7" t="n"/>
      <c r="L17" s="7" t="n"/>
    </row>
    <row r="18">
      <c r="A18" s="7" t="inlineStr">
        <is>
          <t>INV-14</t>
        </is>
      </c>
      <c r="B18" s="7" t="inlineStr">
        <is>
          <t>Procès-verbal</t>
        </is>
      </c>
      <c r="C18" s="7" t="inlineStr">
        <is>
          <t>CPT (comptable@sygep.test)</t>
        </is>
      </c>
      <c r="D18" s="7" t="inlineStr">
        <is>
          <t>Campagne clôturée</t>
        </is>
      </c>
      <c r="E18" s="7" t="inlineStr">
        <is>
          <t>1. Procès-verbal</t>
        </is>
      </c>
      <c r="F18" s="7" t="inlineStr">
        <is>
          <t>Le document affiche la campagne, les responsables (signatures), les matières manquantes, abîmées ou hors service, déplacées ou hors périmètre.</t>
        </is>
      </c>
      <c r="G18" s="7" t="inlineStr">
        <is>
          <t>Critique</t>
        </is>
      </c>
      <c r="H18" s="7" t="inlineStr">
        <is>
          <t>OK</t>
        </is>
      </c>
      <c r="I18" s="7" t="inlineStr">
        <is>
          <t>Non testé</t>
        </is>
      </c>
      <c r="J18" s="7" t="n"/>
      <c r="K18" s="7" t="n"/>
      <c r="L18" s="7" t="n"/>
    </row>
    <row r="19">
      <c r="A19" s="7" t="inlineStr">
        <is>
          <t>INV-15</t>
        </is>
      </c>
      <c r="B19" s="7" t="inlineStr">
        <is>
          <t>Campagne clôturée non modifiable</t>
        </is>
      </c>
      <c r="C19" s="7" t="inlineStr">
        <is>
          <t>CPT (comptable@sygep.test)</t>
        </is>
      </c>
      <c r="D19" s="7" t="inlineStr">
        <is>
          <t>Campagne clôturée</t>
        </is>
      </c>
      <c r="E19" s="7" t="inlineStr">
        <is>
          <t>1. Tenter de scanner une matière sur cette campagne</t>
        </is>
      </c>
      <c r="F19" s="7" t="inlineStr">
        <is>
          <t>Message « La campagne n'est pas en cours ».</t>
        </is>
      </c>
      <c r="G19" s="7" t="inlineStr">
        <is>
          <t>Majeur</t>
        </is>
      </c>
      <c r="H19" s="7" t="inlineStr">
        <is>
          <t>OK</t>
        </is>
      </c>
      <c r="I19" s="7" t="inlineStr">
        <is>
          <t>Non testé</t>
        </is>
      </c>
      <c r="J19" s="7" t="n"/>
      <c r="K19" s="7" t="n"/>
      <c r="L19" s="7" t="n"/>
    </row>
    <row r="20">
      <c r="A20" s="7" t="inlineStr">
        <is>
          <t>INV-16</t>
        </is>
      </c>
      <c r="B20" s="7" t="inlineStr">
        <is>
          <t>Supprimer une campagne</t>
        </is>
      </c>
      <c r="C20" s="7" t="inlineStr">
        <is>
          <t>CPT (comptable@sygep.test)</t>
        </is>
      </c>
      <c r="D20" s="7" t="inlineStr">
        <is>
          <t>Une campagne de test</t>
        </is>
      </c>
      <c r="E20" s="7" t="inlineStr">
        <is>
          <t>1. Supprimer la campagne
2. Confirmer</t>
        </is>
      </c>
      <c r="F20" s="7" t="inlineStr">
        <is>
          <t>Elle disparaît de la liste.</t>
        </is>
      </c>
      <c r="G20" s="7" t="inlineStr">
        <is>
          <t>Mineur</t>
        </is>
      </c>
      <c r="H20" s="7" t="inlineStr">
        <is>
          <t>OK</t>
        </is>
      </c>
      <c r="I20" s="7" t="inlineStr">
        <is>
          <t>Non testé</t>
        </is>
      </c>
      <c r="J20" s="7" t="n"/>
      <c r="K20" s="7" t="n"/>
      <c r="L20" s="7" t="n"/>
    </row>
    <row r="21">
      <c r="A21" s="7" t="inlineStr">
        <is>
          <t>INV-17</t>
        </is>
      </c>
      <c r="B21" s="7" t="inlineStr">
        <is>
          <t>Scanner d'inventaire : lieu et état</t>
        </is>
      </c>
      <c r="C21" s="7" t="inlineStr">
        <is>
          <t>SEC (secondaire@sygep.test)</t>
        </is>
      </c>
      <c r="D21" s="7" t="inlineStr">
        <is>
          <t>Campagne en cours</t>
        </is>
      </c>
      <c r="E21" s="7" t="inlineStr">
        <is>
          <t>1. Ouvrir Scanner
2. Choisir « Hors service » et un lieu
3. Saisir un code</t>
        </is>
      </c>
      <c r="F21" s="7" t="inlineStr">
        <is>
          <t>La matière est contrôlée avec l'état « Hors service » et le lieu choisi.</t>
        </is>
      </c>
      <c r="G21" s="7" t="inlineStr">
        <is>
          <t>Majeur</t>
        </is>
      </c>
      <c r="H21" s="7" t="inlineStr">
        <is>
          <t>Manuel</t>
        </is>
      </c>
      <c r="I21" s="7" t="inlineStr">
        <is>
          <t>Non testé</t>
        </is>
      </c>
      <c r="J21" s="7" t="n"/>
      <c r="K21" s="7" t="n"/>
      <c r="L21" s="7" t="n"/>
    </row>
  </sheetData>
  <autoFilter ref="A4:L21"/>
  <conditionalFormatting sqref="I5:I21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21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STK – Stock des consommables : articles et mouvements</t>
        </is>
      </c>
    </row>
    <row r="2">
      <c r="A2" t="inlineStr">
        <is>
          <t>Vérifier que le solde est toujours juste, justifié et protégé.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STK-01</t>
        </is>
      </c>
      <c r="B5" s="7" t="inlineStr">
        <is>
          <t>Créer un article avec stock initial</t>
        </is>
      </c>
      <c r="C5" s="7" t="inlineStr">
        <is>
          <t>MAT (matieres@sygep.test)</t>
        </is>
      </c>
      <c r="D5" s="7" t="inlineStr">
        <is>
          <t>—</t>
        </is>
      </c>
      <c r="E5" s="7" t="inlineStr">
        <is>
          <t>1. Stock consommables &gt; Articles en stock &gt; Ajouter
2. Désignation « Article test », unité, seuil 5, quantité en stock aujourd'hui 20
3. Enregistrer</t>
        </is>
      </c>
      <c r="F5" s="7" t="inlineStr">
        <is>
          <t>L'article reçoit une référence ART-nnnn. Son solde est 20. Son historique contient un mouvement d'entrée « Stock initial ».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STK-02</t>
        </is>
      </c>
      <c r="B6" s="7" t="inlineStr">
        <is>
          <t>Seuil d'alerte obligatoire</t>
        </is>
      </c>
      <c r="C6" s="7" t="inlineStr">
        <is>
          <t>MAT (matieres@sygep.test)</t>
        </is>
      </c>
      <c r="D6" s="7" t="inlineStr">
        <is>
          <t>—</t>
        </is>
      </c>
      <c r="E6" s="7" t="inlineStr">
        <is>
          <t>1. Créer un article sans seuil d'alerte</t>
        </is>
      </c>
      <c r="F6" s="7" t="inlineStr">
        <is>
          <t>Refus (champ obligatoire, astérisque rouge).</t>
        </is>
      </c>
      <c r="G6" s="7" t="inlineStr">
        <is>
          <t>Majeur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STK-03</t>
        </is>
      </c>
      <c r="B7" s="7" t="inlineStr">
        <is>
          <t>Champs obligatoires de l'article</t>
        </is>
      </c>
      <c r="C7" s="7" t="inlineStr">
        <is>
          <t>MAT (matieres@sygep.test)</t>
        </is>
      </c>
      <c r="D7" s="7" t="inlineStr">
        <is>
          <t>—</t>
        </is>
      </c>
      <c r="E7" s="7" t="inlineStr">
        <is>
          <t>1. Créer un article sans désignation ni unité</t>
        </is>
      </c>
      <c r="F7" s="7" t="inlineStr">
        <is>
          <t>Refus avec message sous chaque champ.</t>
        </is>
      </c>
      <c r="G7" s="7" t="inlineStr">
        <is>
          <t>Majeur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STK-04</t>
        </is>
      </c>
      <c r="B8" s="7" t="inlineStr">
        <is>
          <t>Fiche d'un article</t>
        </is>
      </c>
      <c r="C8" s="7" t="inlineStr">
        <is>
          <t>MAT (matieres@sygep.test)</t>
        </is>
      </c>
      <c r="D8" s="7" t="inlineStr">
        <is>
          <t>Article avec mouvements</t>
        </is>
      </c>
      <c r="E8" s="7" t="inlineStr">
        <is>
          <t>1. Ouvrir la fiche de « Ramette papier A4 80 g »</t>
        </is>
      </c>
      <c r="F8" s="7" t="inlineStr">
        <is>
          <t>La fiche montre le solde, les entrées et sorties du mois, la consommation moyenne mensuelle, la couverture en jours et la liste des mouvements.</t>
        </is>
      </c>
      <c r="G8" s="7" t="inlineStr">
        <is>
          <t>Majeur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STK-05</t>
        </is>
      </c>
      <c r="B9" s="7" t="inlineStr">
        <is>
          <t>Entrée valide</t>
        </is>
      </c>
      <c r="C9" s="7" t="inlineStr">
        <is>
          <t>MAT (matieres@sygep.test)</t>
        </is>
      </c>
      <c r="D9" s="7" t="inlineStr">
        <is>
          <t>Article existant (solde S)</t>
        </is>
      </c>
      <c r="E9" s="7" t="inlineStr">
        <is>
          <t>1. Mouvements de stock &gt; Nouveau mouvement &gt; Entrée
2. Article, quantité 10, date du jour
3. Enregistrer</t>
        </is>
      </c>
      <c r="F9" s="7" t="inlineStr">
        <is>
          <t>Message « … nouveau solde S+10 ». Le solde de l'article est S+10. Le mouvement est numéroté MVT-AAAA-nnnnn.</t>
        </is>
      </c>
      <c r="G9" s="7" t="inlineStr">
        <is>
          <t>Critique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STK-06</t>
        </is>
      </c>
      <c r="B10" s="7" t="inlineStr">
        <is>
          <t>Sortie valide</t>
        </is>
      </c>
      <c r="C10" s="7" t="inlineStr">
        <is>
          <t>MAT (matieres@sygep.test)</t>
        </is>
      </c>
      <c r="D10" s="7" t="inlineStr">
        <is>
          <t>Article avec solde ≥ 5 ; un service</t>
        </is>
      </c>
      <c r="E10" s="7" t="inlineStr">
        <is>
          <t>1. Nouveau mouvement &gt; Sortie
2. Article, quantité 5, service bénéficiaire
3. Enregistrer</t>
        </is>
      </c>
      <c r="F10" s="7" t="inlineStr">
        <is>
          <t>Le solde diminue de 5. Le mouvement indique le service bénéficiaire.</t>
        </is>
      </c>
      <c r="G10" s="7" t="inlineStr">
        <is>
          <t>Critique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STK-07</t>
        </is>
      </c>
      <c r="B11" s="7" t="inlineStr">
        <is>
          <t>Sortie sans bénéficiaire</t>
        </is>
      </c>
      <c r="C11" s="7" t="inlineStr">
        <is>
          <t>MAT (matieres@sygep.test)</t>
        </is>
      </c>
      <c r="D11" s="7" t="inlineStr">
        <is>
          <t>—</t>
        </is>
      </c>
      <c r="E11" s="7" t="inlineStr">
        <is>
          <t>1. Sortie sans service ni agent</t>
        </is>
      </c>
      <c r="F11" s="7" t="inlineStr">
        <is>
          <t>Refus : « Indiquez le service bénéficiaire de la sortie (ou l'agent demandeur). »</t>
        </is>
      </c>
      <c r="G11" s="7" t="inlineStr">
        <is>
          <t>Critique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STK-08</t>
        </is>
      </c>
      <c r="B12" s="7" t="inlineStr">
        <is>
          <t>Sortie par un agent</t>
        </is>
      </c>
      <c r="C12" s="7" t="inlineStr">
        <is>
          <t>MAT (matieres@sygep.test)</t>
        </is>
      </c>
      <c r="D12" s="7" t="inlineStr">
        <is>
          <t>Un agent d'un service</t>
        </is>
      </c>
      <c r="E12" s="7" t="inlineStr">
        <is>
          <t>1. Sortie en choisissant l'agent demandeur et en laissant le service vide</t>
        </is>
      </c>
      <c r="F12" s="7" t="inlineStr">
        <is>
          <t>Acceptée : le service de l'agent est repris comme bénéficiaire.</t>
        </is>
      </c>
      <c r="G12" s="7" t="inlineStr">
        <is>
          <t>Majeur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STK-09</t>
        </is>
      </c>
      <c r="B13" s="7" t="inlineStr">
        <is>
          <t>Sortie supérieure au stock</t>
        </is>
      </c>
      <c r="C13" s="7" t="inlineStr">
        <is>
          <t>MAT (matieres@sygep.test)</t>
        </is>
      </c>
      <c r="D13" s="7" t="inlineStr">
        <is>
          <t>Article avec solde 11</t>
        </is>
      </c>
      <c r="E13" s="7" t="inlineStr">
        <is>
          <t>1. Sortie de 50</t>
        </is>
      </c>
      <c r="F13" s="7" t="inlineStr">
        <is>
          <t>Refus : « Stock insuffisant : il reste 11 … ». Le solde ne change pas.</t>
        </is>
      </c>
      <c r="G13" s="7" t="inlineStr">
        <is>
          <t>Critique</t>
        </is>
      </c>
      <c r="H13" s="7" t="inlineStr">
        <is>
          <t>OK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STK-10</t>
        </is>
      </c>
      <c r="B14" s="7" t="inlineStr">
        <is>
          <t>Quantité nulle</t>
        </is>
      </c>
      <c r="C14" s="7" t="inlineStr">
        <is>
          <t>MAT (matieres@sygep.test)</t>
        </is>
      </c>
      <c r="D14" s="7" t="inlineStr">
        <is>
          <t>—</t>
        </is>
      </c>
      <c r="E14" s="7" t="inlineStr">
        <is>
          <t>1. Entrée ou sortie avec quantité 0</t>
        </is>
      </c>
      <c r="F14" s="7" t="inlineStr">
        <is>
          <t>Refus : la quantité doit être supérieure à zéro.</t>
        </is>
      </c>
      <c r="G14" s="7" t="inlineStr">
        <is>
          <t>Majeur</t>
        </is>
      </c>
      <c r="H14" s="7" t="inlineStr">
        <is>
          <t>OK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STK-11</t>
        </is>
      </c>
      <c r="B15" s="7" t="inlineStr">
        <is>
          <t>Date future</t>
        </is>
      </c>
      <c r="C15" s="7" t="inlineStr">
        <is>
          <t>MAT (matieres@sygep.test)</t>
        </is>
      </c>
      <c r="D15" s="7" t="inlineStr">
        <is>
          <t>—</t>
        </is>
      </c>
      <c r="E15" s="7" t="inlineStr">
        <is>
          <t>1. Mouvement daté de demain</t>
        </is>
      </c>
      <c r="F15" s="7" t="inlineStr">
        <is>
          <t>Refus : la date ne peut pas être dans le futur.</t>
        </is>
      </c>
      <c r="G15" s="7" t="inlineStr">
        <is>
          <t>Majeur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STK-12</t>
        </is>
      </c>
      <c r="B16" s="7" t="inlineStr">
        <is>
          <t>Ajustement après comptage</t>
        </is>
      </c>
      <c r="C16" s="7" t="inlineStr">
        <is>
          <t>CPT (comptable@sygep.test)</t>
        </is>
      </c>
      <c r="D16" s="7" t="inlineStr">
        <is>
          <t>Article avec solde 20</t>
        </is>
      </c>
      <c r="E16" s="7" t="inlineStr">
        <is>
          <t>1. Nouveau mouvement &gt; Ajustement
2. Quantité comptée 18, observations « casse »
3. Enregistrer</t>
        </is>
      </c>
      <c r="F16" s="7" t="inlineStr">
        <is>
          <t>Le solde devient 18. Le mouvement affiche un écart de −2.</t>
        </is>
      </c>
      <c r="G16" s="7" t="inlineStr">
        <is>
          <t>Critique</t>
        </is>
      </c>
      <c r="H16" s="7" t="inlineStr">
        <is>
          <t>OK</t>
        </is>
      </c>
      <c r="I16" s="7" t="inlineStr">
        <is>
          <t>Non testé</t>
        </is>
      </c>
      <c r="J16" s="7" t="n"/>
      <c r="K16" s="7" t="n"/>
      <c r="L16" s="7" t="n"/>
    </row>
    <row r="17">
      <c r="A17" s="7" t="inlineStr">
        <is>
          <t>STK-13</t>
        </is>
      </c>
      <c r="B17" s="7" t="inlineStr">
        <is>
          <t>Ajustement sans observations</t>
        </is>
      </c>
      <c r="C17" s="7" t="inlineStr">
        <is>
          <t>CPT (comptable@sygep.test)</t>
        </is>
      </c>
      <c r="D17" s="7" t="inlineStr">
        <is>
          <t>—</t>
        </is>
      </c>
      <c r="E17" s="7" t="inlineStr">
        <is>
          <t>1. Ajustement sans observations</t>
        </is>
      </c>
      <c r="F17" s="7" t="inlineStr">
        <is>
          <t>Refus : « Expliquez l'écart constaté (comptage, casse, péremption…). »</t>
        </is>
      </c>
      <c r="G17" s="7" t="inlineStr">
        <is>
          <t>Majeur</t>
        </is>
      </c>
      <c r="H17" s="7" t="inlineStr">
        <is>
          <t>OK</t>
        </is>
      </c>
      <c r="I17" s="7" t="inlineStr">
        <is>
          <t>Non testé</t>
        </is>
      </c>
      <c r="J17" s="7" t="n"/>
      <c r="K17" s="7" t="n"/>
      <c r="L17" s="7" t="n"/>
    </row>
    <row r="18">
      <c r="A18" s="7" t="inlineStr">
        <is>
          <t>STK-14</t>
        </is>
      </c>
      <c r="B18" s="7" t="inlineStr">
        <is>
          <t>Ajustement sans écart</t>
        </is>
      </c>
      <c r="C18" s="7" t="inlineStr">
        <is>
          <t>CPT (comptable@sygep.test)</t>
        </is>
      </c>
      <c r="D18" s="7" t="inlineStr">
        <is>
          <t>Article avec solde 18</t>
        </is>
      </c>
      <c r="E18" s="7" t="inlineStr">
        <is>
          <t>1. Ajustement avec quantité comptée 18</t>
        </is>
      </c>
      <c r="F18" s="7" t="inlineStr">
        <is>
          <t>Refus : « La quantité comptée est identique au stock théorique : aucun ajustement nécessaire. »</t>
        </is>
      </c>
      <c r="G18" s="7" t="inlineStr">
        <is>
          <t>Majeur</t>
        </is>
      </c>
      <c r="H18" s="7" t="inlineStr">
        <is>
          <t>OK</t>
        </is>
      </c>
      <c r="I18" s="7" t="inlineStr">
        <is>
          <t>Non testé</t>
        </is>
      </c>
      <c r="J18" s="7" t="n"/>
      <c r="K18" s="7" t="n"/>
      <c r="L18" s="7" t="n"/>
    </row>
    <row r="19">
      <c r="A19" s="7" t="inlineStr">
        <is>
          <t>STK-15</t>
        </is>
      </c>
      <c r="B19" s="7" t="inlineStr">
        <is>
          <t>Ajustement réservé</t>
        </is>
      </c>
      <c r="C19" s="7" t="inlineStr">
        <is>
          <t>MAT (matieres@sygep.test)</t>
        </is>
      </c>
      <c r="D19" s="7" t="inlineStr">
        <is>
          <t>Compte administrateur des matières</t>
        </is>
      </c>
      <c r="E19" s="7" t="inlineStr">
        <is>
          <t>1. Nouveau mouvement</t>
        </is>
      </c>
      <c r="F19" s="7" t="inlineStr">
        <is>
          <t>Le choix « Ajustement » n'est pas proposé.</t>
        </is>
      </c>
      <c r="G19" s="7" t="inlineStr">
        <is>
          <t>Critique</t>
        </is>
      </c>
      <c r="H19" s="7" t="inlineStr">
        <is>
          <t>Manuel</t>
        </is>
      </c>
      <c r="I19" s="7" t="inlineStr">
        <is>
          <t>Non testé</t>
        </is>
      </c>
      <c r="J19" s="7" t="n"/>
      <c r="K19" s="7" t="n"/>
      <c r="L19" s="7" t="n"/>
    </row>
    <row r="20">
      <c r="A20" s="7" t="inlineStr">
        <is>
          <t>STK-16</t>
        </is>
      </c>
      <c r="B20" s="7" t="inlineStr">
        <is>
          <t>Article périssable : péremption obligatoire</t>
        </is>
      </c>
      <c r="C20" s="7" t="inlineStr">
        <is>
          <t>MAT (matieres@sygep.test)</t>
        </is>
      </c>
      <c r="D20" s="7" t="inlineStr">
        <is>
          <t>Article coché « périssable » (ex. Détergent)</t>
        </is>
      </c>
      <c r="E20" s="7" t="inlineStr">
        <is>
          <t>1. Entrée sans date de péremption</t>
        </is>
      </c>
      <c r="F20" s="7" t="inlineStr">
        <is>
          <t>Refus : « Cet article est périssable : indiquez la date de péremption du lot reçu. »</t>
        </is>
      </c>
      <c r="G20" s="7" t="inlineStr">
        <is>
          <t>Critique</t>
        </is>
      </c>
      <c r="H20" s="7" t="inlineStr">
        <is>
          <t>OK</t>
        </is>
      </c>
      <c r="I20" s="7" t="inlineStr">
        <is>
          <t>Non testé</t>
        </is>
      </c>
      <c r="J20" s="7" t="n"/>
      <c r="K20" s="7" t="n"/>
      <c r="L20" s="7" t="n"/>
    </row>
    <row r="21">
      <c r="A21" s="7" t="inlineStr">
        <is>
          <t>STK-17</t>
        </is>
      </c>
      <c r="B21" s="7" t="inlineStr">
        <is>
          <t>Péremption antérieure</t>
        </is>
      </c>
      <c r="C21" s="7" t="inlineStr">
        <is>
          <t>MAT (matieres@sygep.test)</t>
        </is>
      </c>
      <c r="D21" s="7" t="inlineStr">
        <is>
          <t>Article périssable</t>
        </is>
      </c>
      <c r="E21" s="7" t="inlineStr">
        <is>
          <t>1. Entrée avec une péremption antérieure à la date du mouvement</t>
        </is>
      </c>
      <c r="F21" s="7" t="inlineStr">
        <is>
          <t>Refus avec message sous la date de péremption.</t>
        </is>
      </c>
      <c r="G21" s="7" t="inlineStr">
        <is>
          <t>Mineur</t>
        </is>
      </c>
      <c r="H21" s="7" t="inlineStr">
        <is>
          <t>OK</t>
        </is>
      </c>
      <c r="I21" s="7" t="inlineStr">
        <is>
          <t>Non testé</t>
        </is>
      </c>
      <c r="J21" s="7" t="n"/>
      <c r="K21" s="7" t="n"/>
      <c r="L21" s="7" t="n"/>
    </row>
    <row r="22">
      <c r="A22" s="7" t="inlineStr">
        <is>
          <t>STK-18</t>
        </is>
      </c>
      <c r="B22" s="7" t="inlineStr">
        <is>
          <t>Alerte de stock bas</t>
        </is>
      </c>
      <c r="C22" s="7" t="inlineStr">
        <is>
          <t>MAT (matieres@sygep.test)</t>
        </is>
      </c>
      <c r="D22" s="7" t="inlineStr">
        <is>
          <t>Article avec solde 12 et seuil 10 ; un compte avec droit de modifier les articles (ex. ADM)</t>
        </is>
      </c>
      <c r="E22" s="7" t="inlineStr">
        <is>
          <t>1. Sortie de 3 (le solde passe à 9)
2. Ouvrir la cloche de ADM
3. Tableau de bord</t>
        </is>
      </c>
      <c r="F22" s="7" t="inlineStr">
        <is>
          <t>Une notification « Stock bas : … » est reçue. La tuile « Stock sous le seuil » compte l'article.</t>
        </is>
      </c>
      <c r="G22" s="7" t="inlineStr">
        <is>
          <t>Critique</t>
        </is>
      </c>
      <c r="H22" s="7" t="inlineStr">
        <is>
          <t>OK</t>
        </is>
      </c>
      <c r="I22" s="7" t="inlineStr">
        <is>
          <t>Non testé</t>
        </is>
      </c>
      <c r="J22" s="7" t="n"/>
      <c r="K22" s="7" t="n"/>
      <c r="L22" s="7" t="n"/>
    </row>
    <row r="23">
      <c r="A23" s="7" t="inlineStr">
        <is>
          <t>STK-19</t>
        </is>
      </c>
      <c r="B23" s="7" t="inlineStr">
        <is>
          <t>Alerte de rupture</t>
        </is>
      </c>
      <c r="C23" s="7" t="inlineStr">
        <is>
          <t>MAT (matieres@sygep.test)</t>
        </is>
      </c>
      <c r="D23" s="7" t="inlineStr">
        <is>
          <t>Article déjà sous son seuil (solde 7, seuil 10)</t>
        </is>
      </c>
      <c r="E23" s="7" t="inlineStr">
        <is>
          <t>1. Sortie de 7 (le solde passe à 0)</t>
        </is>
      </c>
      <c r="F23" s="7" t="inlineStr">
        <is>
          <t>Notification « Rupture de stock : … », même si l'article était déjà sous le seuil.</t>
        </is>
      </c>
      <c r="G23" s="7" t="inlineStr">
        <is>
          <t>Critique</t>
        </is>
      </c>
      <c r="H23" s="7" t="inlineStr">
        <is>
          <t>OK</t>
        </is>
      </c>
      <c r="I23" s="7" t="inlineStr">
        <is>
          <t>Non testé</t>
        </is>
      </c>
      <c r="J23" s="7" t="n"/>
      <c r="K23" s="7" t="n"/>
      <c r="L23" s="7" t="n"/>
    </row>
    <row r="24">
      <c r="A24" s="7" t="inlineStr">
        <is>
          <t>STK-20</t>
        </is>
      </c>
      <c r="B24" s="7" t="inlineStr">
        <is>
          <t>Pas de notification répétée</t>
        </is>
      </c>
      <c r="C24" s="7" t="inlineStr">
        <is>
          <t>MAT (matieres@sygep.test)</t>
        </is>
      </c>
      <c r="D24" s="7" t="inlineStr">
        <is>
          <t>Article déjà sous le seuil</t>
        </is>
      </c>
      <c r="E24" s="7" t="inlineStr">
        <is>
          <t>1. Faire une nouvelle sortie (reste sous le seuil)</t>
        </is>
      </c>
      <c r="F24" s="7" t="inlineStr">
        <is>
          <t>Aucune nouvelle notification n'est envoyée (l'alerte ne se déclenche qu'au franchissement).</t>
        </is>
      </c>
      <c r="G24" s="7" t="inlineStr">
        <is>
          <t>Mineur</t>
        </is>
      </c>
      <c r="H24" s="7" t="inlineStr">
        <is>
          <t>OK</t>
        </is>
      </c>
      <c r="I24" s="7" t="inlineStr">
        <is>
          <t>Non testé</t>
        </is>
      </c>
      <c r="J24" s="7" t="n"/>
      <c r="K24" s="7" t="n"/>
      <c r="L24" s="7" t="n"/>
    </row>
    <row r="25">
      <c r="A25" s="7" t="inlineStr">
        <is>
          <t>STK-21</t>
        </is>
      </c>
      <c r="B25" s="7" t="inlineStr">
        <is>
          <t>Compte local : sorties seulement</t>
        </is>
      </c>
      <c r="C25" s="7" t="inlineStr">
        <is>
          <t>SEC (secondaire@sygep.test)</t>
        </is>
      </c>
      <c r="D25" s="7" t="inlineStr">
        <is>
          <t>Compte comptable secondaire</t>
        </is>
      </c>
      <c r="E25" s="7" t="inlineStr">
        <is>
          <t>1. Nouveau mouvement</t>
        </is>
      </c>
      <c r="F25" s="7" t="inlineStr">
        <is>
          <t>Seul « Sortie » est proposé ; une sortie pour son service est acceptée.</t>
        </is>
      </c>
      <c r="G25" s="7" t="inlineStr">
        <is>
          <t>Critique</t>
        </is>
      </c>
      <c r="H25" s="7" t="inlineStr">
        <is>
          <t>OK</t>
        </is>
      </c>
      <c r="I25" s="7" t="inlineStr">
        <is>
          <t>Non testé</t>
        </is>
      </c>
      <c r="J25" s="7" t="n"/>
      <c r="K25" s="7" t="n"/>
      <c r="L25" s="7" t="n"/>
    </row>
    <row r="26">
      <c r="A26" s="7" t="inlineStr">
        <is>
          <t>STK-22</t>
        </is>
      </c>
      <c r="B26" s="7" t="inlineStr">
        <is>
          <t>Journal : filtres</t>
        </is>
      </c>
      <c r="C26" s="7" t="inlineStr">
        <is>
          <t>CPT (comptable@sygep.test)</t>
        </is>
      </c>
      <c r="D26" s="7" t="inlineStr">
        <is>
          <t>Jeu de démonstration</t>
        </is>
      </c>
      <c r="E26" s="7" t="inlineStr">
        <is>
          <t>1. Mouvements de stock
2. Choisir l'onglet Sortie, changer les dates, filtrer par article</t>
        </is>
      </c>
      <c r="F26" s="7" t="inlineStr">
        <is>
          <t>Le journal ne montre que les mouvements correspondants.</t>
        </is>
      </c>
      <c r="G26" s="7" t="inlineStr">
        <is>
          <t>Mineur</t>
        </is>
      </c>
      <c r="H26" s="7" t="inlineStr">
        <is>
          <t>OK</t>
        </is>
      </c>
      <c r="I26" s="7" t="inlineStr">
        <is>
          <t>Non testé</t>
        </is>
      </c>
      <c r="J26" s="7" t="n"/>
      <c r="K26" s="7" t="n"/>
      <c r="L26" s="7" t="n"/>
    </row>
    <row r="27">
      <c r="A27" s="7" t="inlineStr">
        <is>
          <t>STK-23</t>
        </is>
      </c>
      <c r="B27" s="7" t="inlineStr">
        <is>
          <t>Modification d'un article</t>
        </is>
      </c>
      <c r="C27" s="7" t="inlineStr">
        <is>
          <t>MAT (matieres@sygep.test)</t>
        </is>
      </c>
      <c r="D27" s="7" t="inlineStr">
        <is>
          <t>Un article existe</t>
        </is>
      </c>
      <c r="E27" s="7" t="inlineStr">
        <is>
          <t>1. Modifier l'article
2. Constater que « Quantité en stock aujourd'hui » n'est pas proposée</t>
        </is>
      </c>
      <c r="F27" s="7" t="inlineStr">
        <is>
          <t>La quantité n'est pas modifiable à la main (elle ne change que par des mouvements).</t>
        </is>
      </c>
      <c r="G27" s="7" t="inlineStr">
        <is>
          <t>Majeur</t>
        </is>
      </c>
      <c r="H27" s="7" t="inlineStr">
        <is>
          <t>OK</t>
        </is>
      </c>
      <c r="I27" s="7" t="inlineStr">
        <is>
          <t>Non testé</t>
        </is>
      </c>
      <c r="J27" s="7" t="n"/>
      <c r="K27" s="7" t="n"/>
      <c r="L27" s="7" t="n"/>
    </row>
  </sheetData>
  <autoFilter ref="A4:L27"/>
  <conditionalFormatting sqref="I5:I27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27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BST – Bons d'entrée et de sortie du stock</t>
        </is>
      </c>
    </row>
    <row r="2">
      <c r="A2" t="inlineStr">
        <is>
          <t>Vérifier les bons multi-articles : exactitude, « tout ou rien », impression.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BST-01</t>
        </is>
      </c>
      <c r="B5" s="7" t="inlineStr">
        <is>
          <t>Bon d'entrée à deux lignes</t>
        </is>
      </c>
      <c r="C5" s="7" t="inlineStr">
        <is>
          <t>MAT (matieres@sygep.test)</t>
        </is>
      </c>
      <c r="D5" s="7" t="inlineStr">
        <is>
          <t>Deux articles existants ; un fournisseur</t>
        </is>
      </c>
      <c r="E5" s="7" t="inlineStr">
        <is>
          <t>1. Bons de stock &gt; Bon d'entrée
2. Date du jour, fournisseur, N° de pièce
3. Ajouter deux lignes : article A qté 20, article B qté 10
4. Enregistrer</t>
        </is>
      </c>
      <c r="F5" s="7" t="inlineStr">
        <is>
          <t>Un bon BE-AAAA-nnnn est créé avec 2 articles. Les soldes de A et B augmentent de 20 et 10. Deux mouvements sont rattachés au bon.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BST-02</t>
        </is>
      </c>
      <c r="B6" s="7" t="inlineStr">
        <is>
          <t>Bon de sortie à deux lignes</t>
        </is>
      </c>
      <c r="C6" s="7" t="inlineStr">
        <is>
          <t>MAT (matieres@sygep.test)</t>
        </is>
      </c>
      <c r="D6" s="7" t="inlineStr">
        <is>
          <t>Mêmes articles avec stock suffisant</t>
        </is>
      </c>
      <c r="E6" s="7" t="inlineStr">
        <is>
          <t>1. Bon de sortie
2. Service bénéficiaire, agent demandeur
3. Deux lignes : A qté 5, B qté 2
4. Enregistrer</t>
        </is>
      </c>
      <c r="F6" s="7" t="inlineStr">
        <is>
          <t>Un bon BS-AAAA-nnnn est créé. Les soldes de A et B diminuent de 5 et 2.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BST-03</t>
        </is>
      </c>
      <c r="B7" s="7" t="inlineStr">
        <is>
          <t>Même article deux fois</t>
        </is>
      </c>
      <c r="C7" s="7" t="inlineStr">
        <is>
          <t>MAT (matieres@sygep.test)</t>
        </is>
      </c>
      <c r="D7" s="7" t="inlineStr">
        <is>
          <t>—</t>
        </is>
      </c>
      <c r="E7" s="7" t="inlineStr">
        <is>
          <t>1. Ajouter deux lignes avec le même article</t>
        </is>
      </c>
      <c r="F7" s="7" t="inlineStr">
        <is>
          <t>Refus : « Cet article figure déjà sur le bon : regroupez les quantités sur une seule ligne. »</t>
        </is>
      </c>
      <c r="G7" s="7" t="inlineStr">
        <is>
          <t>Majeur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BST-04</t>
        </is>
      </c>
      <c r="B8" s="7" t="inlineStr">
        <is>
          <t>Tout ou rien</t>
        </is>
      </c>
      <c r="C8" s="7" t="inlineStr">
        <is>
          <t>MAT (matieres@sygep.test)</t>
        </is>
      </c>
      <c r="D8" s="7" t="inlineStr">
        <is>
          <t>Article A avec stock suffisant, article B avec stock faible</t>
        </is>
      </c>
      <c r="E8" s="7" t="inlineStr">
        <is>
          <t>1. Bon de sortie avec A qté 1 et B qté supérieure à son stock
2. Enregistrer
3. Vérifier les soldes de A et B</t>
        </is>
      </c>
      <c r="F8" s="7" t="inlineStr">
        <is>
          <t>Refus avec le message « Stock insuffisant » affiché sur la ligne de B. AUCUN bon n'est créé et le solde de A n'a pas changé.</t>
        </is>
      </c>
      <c r="G8" s="7" t="inlineStr">
        <is>
          <t>Critique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BST-05</t>
        </is>
      </c>
      <c r="B9" s="7" t="inlineStr">
        <is>
          <t>Quantité nulle</t>
        </is>
      </c>
      <c r="C9" s="7" t="inlineStr">
        <is>
          <t>MAT (matieres@sygep.test)</t>
        </is>
      </c>
      <c r="D9" s="7" t="inlineStr">
        <is>
          <t>—</t>
        </is>
      </c>
      <c r="E9" s="7" t="inlineStr">
        <is>
          <t>1. Ligne avec quantité 0</t>
        </is>
      </c>
      <c r="F9" s="7" t="inlineStr">
        <is>
          <t>Refus : la quantité doit être supérieure à zéro.</t>
        </is>
      </c>
      <c r="G9" s="7" t="inlineStr">
        <is>
          <t>Majeur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BST-06</t>
        </is>
      </c>
      <c r="B10" s="7" t="inlineStr">
        <is>
          <t>Bon sans article</t>
        </is>
      </c>
      <c r="C10" s="7" t="inlineStr">
        <is>
          <t>MAT (matieres@sygep.test)</t>
        </is>
      </c>
      <c r="D10" s="7" t="inlineStr">
        <is>
          <t>—</t>
        </is>
      </c>
      <c r="E10" s="7" t="inlineStr">
        <is>
          <t>1. Laisser la ligne sans article
2. Enregistrer</t>
        </is>
      </c>
      <c r="F10" s="7" t="inlineStr">
        <is>
          <t>Refus (l'article est obligatoire).</t>
        </is>
      </c>
      <c r="G10" s="7" t="inlineStr">
        <is>
          <t>Majeur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BST-07</t>
        </is>
      </c>
      <c r="B11" s="7" t="inlineStr">
        <is>
          <t>Sortie sans service</t>
        </is>
      </c>
      <c r="C11" s="7" t="inlineStr">
        <is>
          <t>MAT (matieres@sygep.test)</t>
        </is>
      </c>
      <c r="D11" s="7" t="inlineStr">
        <is>
          <t>—</t>
        </is>
      </c>
      <c r="E11" s="7" t="inlineStr">
        <is>
          <t>1. Bon de sortie sans service bénéficiaire</t>
        </is>
      </c>
      <c r="F11" s="7" t="inlineStr">
        <is>
          <t>Refus : « Indiquez le service bénéficiaire du bon de sortie (ou l'agent demandeur). »</t>
        </is>
      </c>
      <c r="G11" s="7" t="inlineStr">
        <is>
          <t>Critique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BST-08</t>
        </is>
      </c>
      <c r="B12" s="7" t="inlineStr">
        <is>
          <t>Entrée périssable sans péremption</t>
        </is>
      </c>
      <c r="C12" s="7" t="inlineStr">
        <is>
          <t>MAT (matieres@sygep.test)</t>
        </is>
      </c>
      <c r="D12" s="7" t="inlineStr">
        <is>
          <t>Article périssable</t>
        </is>
      </c>
      <c r="E12" s="7" t="inlineStr">
        <is>
          <t>1. Bon d'entrée avec cet article, sans date de péremption</t>
        </is>
      </c>
      <c r="F12" s="7" t="inlineStr">
        <is>
          <t>Refus : « Article périssable : indiquez la date de péremption du lot. » Rien n'est créé.</t>
        </is>
      </c>
      <c r="G12" s="7" t="inlineStr">
        <is>
          <t>Critique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BST-09</t>
        </is>
      </c>
      <c r="B13" s="7" t="inlineStr">
        <is>
          <t>Date future</t>
        </is>
      </c>
      <c r="C13" s="7" t="inlineStr">
        <is>
          <t>MAT (matieres@sygep.test)</t>
        </is>
      </c>
      <c r="D13" s="7" t="inlineStr">
        <is>
          <t>—</t>
        </is>
      </c>
      <c r="E13" s="7" t="inlineStr">
        <is>
          <t>1. Bon daté de demain</t>
        </is>
      </c>
      <c r="F13" s="7" t="inlineStr">
        <is>
          <t>Refus : la date du bon ne peut pas être dans le futur.</t>
        </is>
      </c>
      <c r="G13" s="7" t="inlineStr">
        <is>
          <t>Majeur</t>
        </is>
      </c>
      <c r="H13" s="7" t="inlineStr">
        <is>
          <t>OK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BST-10</t>
        </is>
      </c>
      <c r="B14" s="7" t="inlineStr">
        <is>
          <t>Champs selon le type</t>
        </is>
      </c>
      <c r="C14" s="7" t="inlineStr">
        <is>
          <t>MAT (matieres@sygep.test)</t>
        </is>
      </c>
      <c r="D14" s="7" t="inlineStr">
        <is>
          <t>—</t>
        </is>
      </c>
      <c r="E14" s="7" t="inlineStr">
        <is>
          <t>1. Alterner Bon d'entrée / Bon de sortie dans le formulaire</t>
        </is>
      </c>
      <c r="F14" s="7" t="inlineStr">
        <is>
          <t>En entrée : fournisseur, prix unitaire, péremption. En sortie : service et agent. Les autres champs sont masqués.</t>
        </is>
      </c>
      <c r="G14" s="7" t="inlineStr">
        <is>
          <t>Mineur</t>
        </is>
      </c>
      <c r="H14" s="7" t="inlineStr">
        <is>
          <t>OK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BST-11</t>
        </is>
      </c>
      <c r="B15" s="7" t="inlineStr">
        <is>
          <t>Choix d'un article</t>
        </is>
      </c>
      <c r="C15" s="7" t="inlineStr">
        <is>
          <t>MAT (matieres@sygep.test)</t>
        </is>
      </c>
      <c r="D15" s="7" t="inlineStr">
        <is>
          <t>—</t>
        </is>
      </c>
      <c r="E15" s="7" t="inlineStr">
        <is>
          <t>1. Choisir un article dans une ligne</t>
        </is>
      </c>
      <c r="F15" s="7" t="inlineStr">
        <is>
          <t>L'unité et le stock actuel s'affichent sur la ligne.</t>
        </is>
      </c>
      <c r="G15" s="7" t="inlineStr">
        <is>
          <t>Mineur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BST-12</t>
        </is>
      </c>
      <c r="B16" s="7" t="inlineStr">
        <is>
          <t>Ajouter et retirer des lignes</t>
        </is>
      </c>
      <c r="C16" s="7" t="inlineStr">
        <is>
          <t>MAT (matieres@sygep.test)</t>
        </is>
      </c>
      <c r="D16" s="7" t="inlineStr">
        <is>
          <t>—</t>
        </is>
      </c>
      <c r="E16" s="7" t="inlineStr">
        <is>
          <t>1. Cliquer « Ajouter un article » trois fois
2. Retirer une ligne avec la croix</t>
        </is>
      </c>
      <c r="F16" s="7" t="inlineStr">
        <is>
          <t>Les lignes s'ajoutent et se retirent ; on ne peut pas retirer la dernière.</t>
        </is>
      </c>
      <c r="G16" s="7" t="inlineStr">
        <is>
          <t>Mineur</t>
        </is>
      </c>
      <c r="H16" s="7" t="inlineStr">
        <is>
          <t>OK</t>
        </is>
      </c>
      <c r="I16" s="7" t="inlineStr">
        <is>
          <t>Non testé</t>
        </is>
      </c>
      <c r="J16" s="7" t="n"/>
      <c r="K16" s="7" t="n"/>
      <c r="L16" s="7" t="n"/>
    </row>
    <row r="17">
      <c r="A17" s="7" t="inlineStr">
        <is>
          <t>BST-13</t>
        </is>
      </c>
      <c r="B17" s="7" t="inlineStr">
        <is>
          <t>Bon d'entrée imprimé</t>
        </is>
      </c>
      <c r="C17" s="7" t="inlineStr">
        <is>
          <t>MAT (matieres@sygep.test)</t>
        </is>
      </c>
      <c r="D17" s="7" t="inlineStr">
        <is>
          <t>Un bon d'entrée existe</t>
        </is>
      </c>
      <c r="E17" s="7" t="inlineStr">
        <is>
          <t>1. Bons de stock &gt; icône imprimante du bon d'entrée</t>
        </is>
      </c>
      <c r="F17" s="7" t="inlineStr">
        <is>
          <t>Le document est titré « Bon d'entrée en magasin », avec fournisseur, tableau (code, désignation, quantité, unité, prix) et signatures « Livré par » / « Reçu par (magasinier) ».</t>
        </is>
      </c>
      <c r="G17" s="7" t="inlineStr">
        <is>
          <t>Critique</t>
        </is>
      </c>
      <c r="H17" s="7" t="inlineStr">
        <is>
          <t>OK</t>
        </is>
      </c>
      <c r="I17" s="7" t="inlineStr">
        <is>
          <t>Non testé</t>
        </is>
      </c>
      <c r="J17" s="7" t="n"/>
      <c r="K17" s="7" t="n"/>
      <c r="L17" s="7" t="n"/>
    </row>
    <row r="18">
      <c r="A18" s="7" t="inlineStr">
        <is>
          <t>BST-14</t>
        </is>
      </c>
      <c r="B18" s="7" t="inlineStr">
        <is>
          <t>Bon de sortie imprimé</t>
        </is>
      </c>
      <c r="C18" s="7" t="inlineStr">
        <is>
          <t>MAT (matieres@sygep.test)</t>
        </is>
      </c>
      <c r="D18" s="7" t="inlineStr">
        <is>
          <t>Un bon de sortie existe</t>
        </is>
      </c>
      <c r="E18" s="7" t="inlineStr">
        <is>
          <t>1. Imprimer le bon de sortie</t>
        </is>
      </c>
      <c r="F18" s="7" t="inlineStr">
        <is>
          <t>Le document est titré « Bon de sortie de magasin », avec bénéficiaire, tableau et signatures « Remis par (magasinier) » / « Reçu par ».</t>
        </is>
      </c>
      <c r="G18" s="7" t="inlineStr">
        <is>
          <t>Critique</t>
        </is>
      </c>
      <c r="H18" s="7" t="inlineStr">
        <is>
          <t>OK</t>
        </is>
      </c>
      <c r="I18" s="7" t="inlineStr">
        <is>
          <t>Non testé</t>
        </is>
      </c>
      <c r="J18" s="7" t="n"/>
      <c r="K18" s="7" t="n"/>
      <c r="L18" s="7" t="n"/>
    </row>
    <row r="19">
      <c r="A19" s="7" t="inlineStr">
        <is>
          <t>BST-15</t>
        </is>
      </c>
      <c r="B19" s="7" t="inlineStr">
        <is>
          <t>Liste et filtres</t>
        </is>
      </c>
      <c r="C19" s="7" t="inlineStr">
        <is>
          <t>MAT (matieres@sygep.test)</t>
        </is>
      </c>
      <c r="D19" s="7" t="inlineStr">
        <is>
          <t>Plusieurs bons</t>
        </is>
      </c>
      <c r="E19" s="7" t="inlineStr">
        <is>
          <t>1. Bons de stock
2. Cliquer les onglets Bon d'entrée / Bon de sortie</t>
        </is>
      </c>
      <c r="F19" s="7" t="inlineStr">
        <is>
          <t>La liste est filtrée ; chaque ligne montre date, numéro, type, bénéficiaire, nombre d'articles, pièce, auteur.</t>
        </is>
      </c>
      <c r="G19" s="7" t="inlineStr">
        <is>
          <t>Majeur</t>
        </is>
      </c>
      <c r="H19" s="7" t="inlineStr">
        <is>
          <t>OK</t>
        </is>
      </c>
      <c r="I19" s="7" t="inlineStr">
        <is>
          <t>Non testé</t>
        </is>
      </c>
      <c r="J19" s="7" t="n"/>
      <c r="K19" s="7" t="n"/>
      <c r="L19" s="7" t="n"/>
    </row>
    <row r="20">
      <c r="A20" s="7" t="inlineStr">
        <is>
          <t>BST-16</t>
        </is>
      </c>
      <c r="B20" s="7" t="inlineStr">
        <is>
          <t>Fiche d'un bon</t>
        </is>
      </c>
      <c r="C20" s="7" t="inlineStr">
        <is>
          <t>MAT (matieres@sygep.test)</t>
        </is>
      </c>
      <c r="D20" s="7" t="inlineStr">
        <is>
          <t>—</t>
        </is>
      </c>
      <c r="E20" s="7" t="inlineStr">
        <is>
          <t>1. Ouvrir la fiche (œil)</t>
        </is>
      </c>
      <c r="F20" s="7" t="inlineStr">
        <is>
          <t>La fiche liste les articles, quantités, soldes après et références de mouvements.</t>
        </is>
      </c>
      <c r="G20" s="7" t="inlineStr">
        <is>
          <t>Majeur</t>
        </is>
      </c>
      <c r="H20" s="7" t="inlineStr">
        <is>
          <t>OK</t>
        </is>
      </c>
      <c r="I20" s="7" t="inlineStr">
        <is>
          <t>Non testé</t>
        </is>
      </c>
      <c r="J20" s="7" t="n"/>
      <c r="K20" s="7" t="n"/>
      <c r="L20" s="7" t="n"/>
    </row>
    <row r="21">
      <c r="A21" s="7" t="inlineStr">
        <is>
          <t>BST-17</t>
        </is>
      </c>
      <c r="B21" s="7" t="inlineStr">
        <is>
          <t>Lien depuis le journal des mouvements</t>
        </is>
      </c>
      <c r="C21" s="7" t="inlineStr">
        <is>
          <t>MAT (matieres@sygep.test)</t>
        </is>
      </c>
      <c r="D21" s="7" t="inlineStr">
        <is>
          <t>Un bon existe</t>
        </is>
      </c>
      <c r="E21" s="7" t="inlineStr">
        <is>
          <t>1. Mouvements de stock
2. Repérer la colonne « Bon »</t>
        </is>
      </c>
      <c r="F21" s="7" t="inlineStr">
        <is>
          <t>Les mouvements créés par un bon affichent son numéro, cliquable.</t>
        </is>
      </c>
      <c r="G21" s="7" t="inlineStr">
        <is>
          <t>Mineur</t>
        </is>
      </c>
      <c r="H21" s="7" t="inlineStr">
        <is>
          <t>OK</t>
        </is>
      </c>
      <c r="I21" s="7" t="inlineStr">
        <is>
          <t>Non testé</t>
        </is>
      </c>
      <c r="J21" s="7" t="n"/>
      <c r="K21" s="7" t="n"/>
      <c r="L21" s="7" t="n"/>
    </row>
    <row r="22">
      <c r="A22" s="7" t="inlineStr">
        <is>
          <t>BST-18</t>
        </is>
      </c>
      <c r="B22" s="7" t="inlineStr">
        <is>
          <t>Compte local</t>
        </is>
      </c>
      <c r="C22" s="7" t="inlineStr">
        <is>
          <t>SEC (secondaire@sygep.test)</t>
        </is>
      </c>
      <c r="D22" s="7" t="inlineStr">
        <is>
          <t>Compte comptable secondaire</t>
        </is>
      </c>
      <c r="E22" s="7" t="inlineStr">
        <is>
          <t>1. Bons de stock
2. Créer un bon
3. Consulter la liste</t>
        </is>
      </c>
      <c r="F22" s="7" t="inlineStr">
        <is>
          <t>Seul le bon de sortie est proposé. La liste ne contient que les bons de son service.</t>
        </is>
      </c>
      <c r="G22" s="7" t="inlineStr">
        <is>
          <t>Critique</t>
        </is>
      </c>
      <c r="H22" s="7" t="inlineStr">
        <is>
          <t>OK</t>
        </is>
      </c>
      <c r="I22" s="7" t="inlineStr">
        <is>
          <t>Non testé</t>
        </is>
      </c>
      <c r="J22" s="7" t="n"/>
      <c r="K22" s="7" t="n"/>
      <c r="L22" s="7" t="n"/>
    </row>
    <row r="23">
      <c r="A23" s="7" t="inlineStr">
        <is>
          <t>BST-19</t>
        </is>
      </c>
      <c r="B23" s="7" t="inlineStr">
        <is>
          <t>Numérotation</t>
        </is>
      </c>
      <c r="C23" s="7" t="inlineStr">
        <is>
          <t>MAT (matieres@sygep.test)</t>
        </is>
      </c>
      <c r="D23" s="7" t="inlineStr">
        <is>
          <t>Deux bons créés dans la même année</t>
        </is>
      </c>
      <c r="E23" s="7" t="inlineStr">
        <is>
          <t>1. Créer deux bons de sortie</t>
        </is>
      </c>
      <c r="F23" s="7" t="inlineStr">
        <is>
          <t>Les numéros se suivent (BS-AAAA-0001, 0002…).</t>
        </is>
      </c>
      <c r="G23" s="7" t="inlineStr">
        <is>
          <t>Mineur</t>
        </is>
      </c>
      <c r="H23" s="7" t="inlineStr">
        <is>
          <t>OK</t>
        </is>
      </c>
      <c r="I23" s="7" t="inlineStr">
        <is>
          <t>Non testé</t>
        </is>
      </c>
      <c r="J23" s="7" t="n"/>
      <c r="K23" s="7" t="n"/>
      <c r="L23" s="7" t="n"/>
    </row>
  </sheetData>
  <autoFilter ref="A4:L23"/>
  <conditionalFormatting sqref="I5:I23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23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INF – Infrastructures</t>
        </is>
      </c>
    </row>
    <row r="2">
      <c r="A2" t="inlineStr">
        <is>
          <t>Vérifier la hiérarchie, l'état et l'amortissement.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INF-01</t>
        </is>
      </c>
      <c r="B5" s="7" t="inlineStr">
        <is>
          <t>Créer une structure</t>
        </is>
      </c>
      <c r="C5" s="7" t="inlineStr">
        <is>
          <t>INF (infrastructures@sygep.test)</t>
        </is>
      </c>
      <c r="D5" s="7" t="inlineStr">
        <is>
          <t>—</t>
        </is>
      </c>
      <c r="E5" s="7" t="inlineStr">
        <is>
          <t>1. Infrastructures &gt; Ajouter
2. Nom, nature « Structure », situation « En service »
3. Enregistrer</t>
        </is>
      </c>
      <c r="F5" s="7" t="inlineStr">
        <is>
          <t>La structure apparaît dans la liste.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INF-02</t>
        </is>
      </c>
      <c r="B6" s="7" t="inlineStr">
        <is>
          <t>Bâtiment rattaché à une structure</t>
        </is>
      </c>
      <c r="C6" s="7" t="inlineStr">
        <is>
          <t>INF (infrastructures@sygep.test)</t>
        </is>
      </c>
      <c r="D6" s="7" t="inlineStr">
        <is>
          <t>Une structure existe</t>
        </is>
      </c>
      <c r="E6" s="7" t="inlineStr">
        <is>
          <t>1. Nature « Bâtiment », rattaché à la structure</t>
        </is>
      </c>
      <c r="F6" s="7" t="inlineStr">
        <is>
          <t>Accepté.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INF-03</t>
        </is>
      </c>
      <c r="B7" s="7" t="inlineStr">
        <is>
          <t>Bloc rattaché à un bâtiment</t>
        </is>
      </c>
      <c r="C7" s="7" t="inlineStr">
        <is>
          <t>INF (infrastructures@sygep.test)</t>
        </is>
      </c>
      <c r="D7" s="7" t="inlineStr">
        <is>
          <t>Un bâtiment existe</t>
        </is>
      </c>
      <c r="E7" s="7" t="inlineStr">
        <is>
          <t>1. Nature « Bloc », rattaché au bâtiment</t>
        </is>
      </c>
      <c r="F7" s="7" t="inlineStr">
        <is>
          <t>Accepté.</t>
        </is>
      </c>
      <c r="G7" s="7" t="inlineStr">
        <is>
          <t>Critique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INF-04</t>
        </is>
      </c>
      <c r="B8" s="7" t="inlineStr">
        <is>
          <t>Structure rattachée à autre chose</t>
        </is>
      </c>
      <c r="C8" s="7" t="inlineStr">
        <is>
          <t>INF (infrastructures@sygep.test)</t>
        </is>
      </c>
      <c r="D8" s="7" t="inlineStr">
        <is>
          <t>—</t>
        </is>
      </c>
      <c r="E8" s="7" t="inlineStr">
        <is>
          <t>1. Nature « Structure », rattachée à un bâtiment</t>
        </is>
      </c>
      <c r="F8" s="7" t="inlineStr">
        <is>
          <t>Refus : « Une structure est un site principal : elle ne se rattache à rien. »</t>
        </is>
      </c>
      <c r="G8" s="7" t="inlineStr">
        <is>
          <t>Majeur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INF-05</t>
        </is>
      </c>
      <c r="B9" s="7" t="inlineStr">
        <is>
          <t>Bâtiment rattaché à un bloc</t>
        </is>
      </c>
      <c r="C9" s="7" t="inlineStr">
        <is>
          <t>INF (infrastructures@sygep.test)</t>
        </is>
      </c>
      <c r="D9" s="7" t="inlineStr">
        <is>
          <t>Un bloc existe</t>
        </is>
      </c>
      <c r="E9" s="7" t="inlineStr">
        <is>
          <t>1. Nature « Bâtiment », rattaché à un bloc</t>
        </is>
      </c>
      <c r="F9" s="7" t="inlineStr">
        <is>
          <t>Refus : « Un bâtiment se rattache à une structure. »</t>
        </is>
      </c>
      <c r="G9" s="7" t="inlineStr">
        <is>
          <t>Majeur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INF-06</t>
        </is>
      </c>
      <c r="B10" s="7" t="inlineStr">
        <is>
          <t>Amortissement incomplet</t>
        </is>
      </c>
      <c r="C10" s="7" t="inlineStr">
        <is>
          <t>INF (infrastructures@sygep.test)</t>
        </is>
      </c>
      <c r="D10" s="7" t="inlineStr">
        <is>
          <t>—</t>
        </is>
      </c>
      <c r="E10" s="7" t="inlineStr">
        <is>
          <t>1. Renseigner seulement la valeur d'origine
2. Enregistrer</t>
        </is>
      </c>
      <c r="F10" s="7" t="inlineStr">
        <is>
          <t>Refus : demande de la date de mise en service et de la durée, avec un message sous chaque champ manquant.</t>
        </is>
      </c>
      <c r="G10" s="7" t="inlineStr">
        <is>
          <t>Critique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INF-07</t>
        </is>
      </c>
      <c r="B11" s="7" t="inlineStr">
        <is>
          <t>Amortissement complet</t>
        </is>
      </c>
      <c r="C11" s="7" t="inlineStr">
        <is>
          <t>INF (infrastructures@sygep.test)</t>
        </is>
      </c>
      <c r="D11" s="7" t="inlineStr">
        <is>
          <t>—</t>
        </is>
      </c>
      <c r="E11" s="7" t="inlineStr">
        <is>
          <t>1. Valeur 400 000 000, mise en service il y a 10 ans, durée 40 ans
2. Enregistrer
3. Ouvrir la fiche</t>
        </is>
      </c>
      <c r="F11" s="7" t="inlineStr">
        <is>
          <t>La fiche affiche l'annuité (10 000 000), la part amortie (≈ 25 %), la valeur nette (≈ 300 000 000) et le plan année par année.</t>
        </is>
      </c>
      <c r="G11" s="7" t="inlineStr">
        <is>
          <t>Critique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INF-08</t>
        </is>
      </c>
      <c r="B12" s="7" t="inlineStr">
        <is>
          <t>Sans valorisation</t>
        </is>
      </c>
      <c r="C12" s="7" t="inlineStr">
        <is>
          <t>INF (infrastructures@sygep.test)</t>
        </is>
      </c>
      <c r="D12" s="7" t="inlineStr">
        <is>
          <t>—</t>
        </is>
      </c>
      <c r="E12" s="7" t="inlineStr">
        <is>
          <t>1. Laisser les trois champs d'amortissement vides</t>
        </is>
      </c>
      <c r="F12" s="7" t="inlineStr">
        <is>
          <t>Accepté ; aucun plan d'amortissement n'est affiché.</t>
        </is>
      </c>
      <c r="G12" s="7" t="inlineStr">
        <is>
          <t>Mineur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INF-09</t>
        </is>
      </c>
      <c r="B13" s="7" t="inlineStr">
        <is>
          <t>Visite future</t>
        </is>
      </c>
      <c r="C13" s="7" t="inlineStr">
        <is>
          <t>INF (infrastructures@sygep.test)</t>
        </is>
      </c>
      <c r="D13" s="7" t="inlineStr">
        <is>
          <t>—</t>
        </is>
      </c>
      <c r="E13" s="7" t="inlineStr">
        <is>
          <t>1. Date de dernière visite de demain</t>
        </is>
      </c>
      <c r="F13" s="7" t="inlineStr">
        <is>
          <t>Refus.</t>
        </is>
      </c>
      <c r="G13" s="7" t="inlineStr">
        <is>
          <t>Mineur</t>
        </is>
      </c>
      <c r="H13" s="7" t="inlineStr">
        <is>
          <t>OK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INF-10</t>
        </is>
      </c>
      <c r="B14" s="7" t="inlineStr">
        <is>
          <t>Valeurs négatives</t>
        </is>
      </c>
      <c r="C14" s="7" t="inlineStr">
        <is>
          <t>INF (infrastructures@sygep.test)</t>
        </is>
      </c>
      <c r="D14" s="7" t="inlineStr">
        <is>
          <t>—</t>
        </is>
      </c>
      <c r="E14" s="7" t="inlineStr">
        <is>
          <t>1. Surface −5</t>
        </is>
      </c>
      <c r="F14" s="7" t="inlineStr">
        <is>
          <t>Refus.</t>
        </is>
      </c>
      <c r="G14" s="7" t="inlineStr">
        <is>
          <t>Mineur</t>
        </is>
      </c>
      <c r="H14" s="7" t="inlineStr">
        <is>
          <t>OK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INF-11</t>
        </is>
      </c>
      <c r="B15" s="7" t="inlineStr">
        <is>
          <t>Durée hors limites</t>
        </is>
      </c>
      <c r="C15" s="7" t="inlineStr">
        <is>
          <t>INF (infrastructures@sygep.test)</t>
        </is>
      </c>
      <c r="D15" s="7" t="inlineStr">
        <is>
          <t>—</t>
        </is>
      </c>
      <c r="E15" s="7" t="inlineStr">
        <is>
          <t>1. Durée 0, puis 150</t>
        </is>
      </c>
      <c r="F15" s="7" t="inlineStr">
        <is>
          <t>Refus (la durée va de 1 à 100 ans).</t>
        </is>
      </c>
      <c r="G15" s="7" t="inlineStr">
        <is>
          <t>Mineur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INF-12</t>
        </is>
      </c>
      <c r="B16" s="7" t="inlineStr">
        <is>
          <t>Fiche d'une infrastructure</t>
        </is>
      </c>
      <c r="C16" s="7" t="inlineStr">
        <is>
          <t>INF (infrastructures@sygep.test)</t>
        </is>
      </c>
      <c r="D16" s="7" t="inlineStr">
        <is>
          <t>Infrastructure avec projet et demande</t>
        </is>
      </c>
      <c r="E16" s="7" t="inlineStr">
        <is>
          <t>1. Ouvrir la fiche</t>
        </is>
      </c>
      <c r="F16" s="7" t="inlineStr">
        <is>
          <t>La fiche montre les bâtiments/blocs rattachés, les projets liés, la maintenance, et le bouton « Signaler un problème ».</t>
        </is>
      </c>
      <c r="G16" s="7" t="inlineStr">
        <is>
          <t>Majeur</t>
        </is>
      </c>
      <c r="H16" s="7" t="inlineStr">
        <is>
          <t>OK</t>
        </is>
      </c>
      <c r="I16" s="7" t="inlineStr">
        <is>
          <t>Non testé</t>
        </is>
      </c>
      <c r="J16" s="7" t="n"/>
      <c r="K16" s="7" t="n"/>
      <c r="L16" s="7" t="n"/>
    </row>
    <row r="17">
      <c r="A17" s="7" t="inlineStr">
        <is>
          <t>INF-13</t>
        </is>
      </c>
      <c r="B17" s="7" t="inlineStr">
        <is>
          <t>Signaler un problème</t>
        </is>
      </c>
      <c r="C17" s="7" t="inlineStr">
        <is>
          <t>INF (infrastructures@sygep.test)</t>
        </is>
      </c>
      <c r="D17" s="7" t="inlineStr">
        <is>
          <t>—</t>
        </is>
      </c>
      <c r="E17" s="7" t="inlineStr">
        <is>
          <t>1. Fiche &gt; Signaler un problème</t>
        </is>
      </c>
      <c r="F17" s="7" t="inlineStr">
        <is>
          <t>Le formulaire de demande de maintenance s'ouvre avec l'infrastructure déjà choisie.</t>
        </is>
      </c>
      <c r="G17" s="7" t="inlineStr">
        <is>
          <t>Mineur</t>
        </is>
      </c>
      <c r="H17" s="7" t="inlineStr">
        <is>
          <t>OK</t>
        </is>
      </c>
      <c r="I17" s="7" t="inlineStr">
        <is>
          <t>Non testé</t>
        </is>
      </c>
      <c r="J17" s="7" t="n"/>
      <c r="K17" s="7" t="n"/>
      <c r="L17" s="7" t="n"/>
    </row>
    <row r="18">
      <c r="A18" s="7" t="inlineStr">
        <is>
          <t>INF-14</t>
        </is>
      </c>
      <c r="B18" s="7" t="inlineStr">
        <is>
          <t>Chiffres clés et état</t>
        </is>
      </c>
      <c r="C18" s="7" t="inlineStr">
        <is>
          <t>INF (infrastructures@sygep.test)</t>
        </is>
      </c>
      <c r="D18" s="7" t="inlineStr">
        <is>
          <t>Jeu de démonstration</t>
        </is>
      </c>
      <c r="E18" s="7" t="inlineStr">
        <is>
          <t>1. Infrastructures</t>
        </is>
      </c>
      <c r="F18" s="7" t="inlineStr">
        <is>
          <t>Les chiffres clés (nombre, situation, état) sont cohérents avec la liste.</t>
        </is>
      </c>
      <c r="G18" s="7" t="inlineStr">
        <is>
          <t>Mineur</t>
        </is>
      </c>
      <c r="H18" s="7" t="inlineStr">
        <is>
          <t>Manuel</t>
        </is>
      </c>
      <c r="I18" s="7" t="inlineStr">
        <is>
          <t>Non testé</t>
        </is>
      </c>
      <c r="J18" s="7" t="n"/>
      <c r="K18" s="7" t="n"/>
      <c r="L18" s="7" t="n"/>
    </row>
  </sheetData>
  <autoFilter ref="A4:L18"/>
  <conditionalFormatting sqref="I5:I18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8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PRJ – Projets, jalons, chefs de projet, intervenants et rapports</t>
        </is>
      </c>
    </row>
    <row r="2">
      <c r="A2" t="inlineStr">
        <is>
          <t>Vérifier le suivi des chantiers et le calcul automatique de l'avancement.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PRJ-01</t>
        </is>
      </c>
      <c r="B5" s="7" t="inlineStr">
        <is>
          <t>Créer un projet planifié</t>
        </is>
      </c>
      <c r="C5" s="7" t="inlineStr">
        <is>
          <t>INF (infrastructures@sygep.test)</t>
        </is>
      </c>
      <c r="D5" s="7" t="inlineStr">
        <is>
          <t>—</t>
        </is>
      </c>
      <c r="E5" s="7" t="inlineStr">
        <is>
          <t>1. Projets &gt; Ajouter
2. Intitulé, nature, statut « Planifié »
3. Enregistrer</t>
        </is>
      </c>
      <c r="F5" s="7" t="inlineStr">
        <is>
          <t>Le projet reçoit une référence PRJ-AAAA-nn. Message d'invitation à ajouter des jalons.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PRJ-02</t>
        </is>
      </c>
      <c r="B6" s="7" t="inlineStr">
        <is>
          <t>Projet lancé sans date de démarrage</t>
        </is>
      </c>
      <c r="C6" s="7" t="inlineStr">
        <is>
          <t>INF (infrastructures@sygep.test)</t>
        </is>
      </c>
      <c r="D6" s="7" t="inlineStr">
        <is>
          <t>—</t>
        </is>
      </c>
      <c r="E6" s="7" t="inlineStr">
        <is>
          <t>1. Statut « En cours », date de démarrage vide
2. Enregistrer</t>
        </is>
      </c>
      <c r="F6" s="7" t="inlineStr">
        <is>
          <t>Refus : « Indiquez la date de démarrage : le projet est déjà lancé. »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PRJ-03</t>
        </is>
      </c>
      <c r="B7" s="7" t="inlineStr">
        <is>
          <t>Fin avant démarrage</t>
        </is>
      </c>
      <c r="C7" s="7" t="inlineStr">
        <is>
          <t>INF (infrastructures@sygep.test)</t>
        </is>
      </c>
      <c r="D7" s="7" t="inlineStr">
        <is>
          <t>—</t>
        </is>
      </c>
      <c r="E7" s="7" t="inlineStr">
        <is>
          <t>1. Démarrage 20/10, fin prévue 10/10</t>
        </is>
      </c>
      <c r="F7" s="7" t="inlineStr">
        <is>
          <t>Refus : « La date de fin doit suivre la date de début. »</t>
        </is>
      </c>
      <c r="G7" s="7" t="inlineStr">
        <is>
          <t>Majeur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PRJ-04</t>
        </is>
      </c>
      <c r="B8" s="7" t="inlineStr">
        <is>
          <t>Engagé supérieur au budget</t>
        </is>
      </c>
      <c r="C8" s="7" t="inlineStr">
        <is>
          <t>INF (infrastructures@sygep.test)</t>
        </is>
      </c>
      <c r="D8" s="7" t="inlineStr">
        <is>
          <t>—</t>
        </is>
      </c>
      <c r="E8" s="7" t="inlineStr">
        <is>
          <t>1. Budget 1 000 000, montant engagé 1 500 000</t>
        </is>
      </c>
      <c r="F8" s="7" t="inlineStr">
        <is>
          <t>Une alerte rouge s'affiche en direct sous le champ ; à l'enregistrement : « Le montant engagé dépasse le budget prévu… ».</t>
        </is>
      </c>
      <c r="G8" s="7" t="inlineStr">
        <is>
          <t>Majeur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PRJ-05</t>
        </is>
      </c>
      <c r="B9" s="7" t="inlineStr">
        <is>
          <t>Ajouter des jalons</t>
        </is>
      </c>
      <c r="C9" s="7" t="inlineStr">
        <is>
          <t>INF (infrastructures@sygep.test)</t>
        </is>
      </c>
      <c r="D9" s="7" t="inlineStr">
        <is>
          <t>Un projet existe</t>
        </is>
      </c>
      <c r="E9" s="7" t="inlineStr">
        <is>
          <t>1. Fiche du projet &gt; Jalons : ajouter A (poids 1), B (poids 3)</t>
        </is>
      </c>
      <c r="F9" s="7" t="inlineStr">
        <is>
          <t>Les jalons apparaissent dans l'ordre. L'avancement reste 0 %.</t>
        </is>
      </c>
      <c r="G9" s="7" t="inlineStr">
        <is>
          <t>Critique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PRJ-06</t>
        </is>
      </c>
      <c r="B10" s="7" t="inlineStr">
        <is>
          <t>Avancement pondéré</t>
        </is>
      </c>
      <c r="C10" s="7" t="inlineStr">
        <is>
          <t>INF (infrastructures@sygep.test)</t>
        </is>
      </c>
      <c r="D10" s="7" t="inlineStr">
        <is>
          <t>Jalons A (1) et B (3)</t>
        </is>
      </c>
      <c r="E10" s="7" t="inlineStr">
        <is>
          <t>1. Cocher le jalon B</t>
        </is>
      </c>
      <c r="F10" s="7" t="inlineStr">
        <is>
          <t>L'avancement passe à 75 % (3/4). Le projet « Planifié » devient « En cours ».</t>
        </is>
      </c>
      <c r="G10" s="7" t="inlineStr">
        <is>
          <t>Critique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PRJ-07</t>
        </is>
      </c>
      <c r="B11" s="7" t="inlineStr">
        <is>
          <t>Projet terminé automatiquement</t>
        </is>
      </c>
      <c r="C11" s="7" t="inlineStr">
        <is>
          <t>INF (infrastructures@sygep.test)</t>
        </is>
      </c>
      <c r="D11" s="7" t="inlineStr">
        <is>
          <t>—</t>
        </is>
      </c>
      <c r="E11" s="7" t="inlineStr">
        <is>
          <t>1. Cocher aussi le jalon A</t>
        </is>
      </c>
      <c r="F11" s="7" t="inlineStr">
        <is>
          <t>L'avancement est 100 % ; le projet passe « Terminé ».</t>
        </is>
      </c>
      <c r="G11" s="7" t="inlineStr">
        <is>
          <t>Critique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PRJ-08</t>
        </is>
      </c>
      <c r="B12" s="7" t="inlineStr">
        <is>
          <t>Décocher un jalon</t>
        </is>
      </c>
      <c r="C12" s="7" t="inlineStr">
        <is>
          <t>INF (infrastructures@sygep.test)</t>
        </is>
      </c>
      <c r="D12" s="7" t="inlineStr">
        <is>
          <t>Projet terminé</t>
        </is>
      </c>
      <c r="E12" s="7" t="inlineStr">
        <is>
          <t>1. Décocher le jalon A</t>
        </is>
      </c>
      <c r="F12" s="7" t="inlineStr">
        <is>
          <t>L'avancement redescend (75 %) et le projet repasse « En cours ».</t>
        </is>
      </c>
      <c r="G12" s="7" t="inlineStr">
        <is>
          <t>Majeur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PRJ-09</t>
        </is>
      </c>
      <c r="B13" s="7" t="inlineStr">
        <is>
          <t>Projet terminé sans jalon</t>
        </is>
      </c>
      <c r="C13" s="7" t="inlineStr">
        <is>
          <t>INF (infrastructures@sygep.test)</t>
        </is>
      </c>
      <c r="D13" s="7" t="inlineStr">
        <is>
          <t>—</t>
        </is>
      </c>
      <c r="E13" s="7" t="inlineStr">
        <is>
          <t>1. Créer un projet « Terminé » avec date de démarrage, sans jalon, avancement laissé à 0</t>
        </is>
      </c>
      <c r="F13" s="7" t="inlineStr">
        <is>
          <t>L'avancement enregistré est 100 %.</t>
        </is>
      </c>
      <c r="G13" s="7" t="inlineStr">
        <is>
          <t>Majeur</t>
        </is>
      </c>
      <c r="H13" s="7" t="inlineStr">
        <is>
          <t>OK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PRJ-10</t>
        </is>
      </c>
      <c r="B14" s="7" t="inlineStr">
        <is>
          <t>Avancement verrouillé</t>
        </is>
      </c>
      <c r="C14" s="7" t="inlineStr">
        <is>
          <t>INF (infrastructures@sygep.test)</t>
        </is>
      </c>
      <c r="D14" s="7" t="inlineStr">
        <is>
          <t>Projet avec jalons</t>
        </is>
      </c>
      <c r="E14" s="7" t="inlineStr">
        <is>
          <t>1. Modifier le projet</t>
        </is>
      </c>
      <c r="F14" s="7" t="inlineStr">
        <is>
          <t>Le champ Avancement est désactivé avec la mention « calculé à partir des jalons ».</t>
        </is>
      </c>
      <c r="G14" s="7" t="inlineStr">
        <is>
          <t>Mineur</t>
        </is>
      </c>
      <c r="H14" s="7" t="inlineStr">
        <is>
          <t>OK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PRJ-11</t>
        </is>
      </c>
      <c r="B15" s="7" t="inlineStr">
        <is>
          <t>Projet en retard</t>
        </is>
      </c>
      <c r="C15" s="7" t="inlineStr">
        <is>
          <t>INF (infrastructures@sygep.test)</t>
        </is>
      </c>
      <c r="D15" s="7" t="inlineStr">
        <is>
          <t>Projet « En cours » dont la fin prévue est dépassée</t>
        </is>
      </c>
      <c r="E15" s="7" t="inlineStr">
        <is>
          <t>1. Projets
2. Chiffres clés</t>
        </is>
      </c>
      <c r="F15" s="7" t="inlineStr">
        <is>
          <t>Il est compté en retard.</t>
        </is>
      </c>
      <c r="G15" s="7" t="inlineStr">
        <is>
          <t>Mineur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PRJ-12</t>
        </is>
      </c>
      <c r="B16" s="7" t="inlineStr">
        <is>
          <t>Ajouter un intervenant au projet</t>
        </is>
      </c>
      <c r="C16" s="7" t="inlineStr">
        <is>
          <t>INF (infrastructures@sygep.test)</t>
        </is>
      </c>
      <c r="D16" s="7" t="inlineStr">
        <is>
          <t>Un intervenant existe</t>
        </is>
      </c>
      <c r="E16" s="7" t="inlineStr">
        <is>
          <t>1. Fiche du projet &gt; Intervenants &gt; Ajouter au projet</t>
        </is>
      </c>
      <c r="F16" s="7" t="inlineStr">
        <is>
          <t>L'intervenant apparaît dans la liste du projet.</t>
        </is>
      </c>
      <c r="G16" s="7" t="inlineStr">
        <is>
          <t>Majeur</t>
        </is>
      </c>
      <c r="H16" s="7" t="inlineStr">
        <is>
          <t>OK</t>
        </is>
      </c>
      <c r="I16" s="7" t="inlineStr">
        <is>
          <t>Non testé</t>
        </is>
      </c>
      <c r="J16" s="7" t="n"/>
      <c r="K16" s="7" t="n"/>
      <c r="L16" s="7" t="n"/>
    </row>
    <row r="17">
      <c r="A17" s="7" t="inlineStr">
        <is>
          <t>PRJ-13</t>
        </is>
      </c>
      <c r="B17" s="7" t="inlineStr">
        <is>
          <t>Créer un chef de projet</t>
        </is>
      </c>
      <c r="C17" s="7" t="inlineStr">
        <is>
          <t>INF (infrastructures@sygep.test)</t>
        </is>
      </c>
      <c r="D17" s="7" t="inlineStr">
        <is>
          <t>—</t>
        </is>
      </c>
      <c r="E17" s="7" t="inlineStr">
        <is>
          <t>1. Chefs de projet &gt; Ajouter
2. Nom, prénom, téléphone
3. Enregistrer</t>
        </is>
      </c>
      <c r="F17" s="7" t="inlineStr">
        <is>
          <t>Accepté ; il est proposé dans le formulaire des projets.</t>
        </is>
      </c>
      <c r="G17" s="7" t="inlineStr">
        <is>
          <t>Majeur</t>
        </is>
      </c>
      <c r="H17" s="7" t="inlineStr">
        <is>
          <t>OK</t>
        </is>
      </c>
      <c r="I17" s="7" t="inlineStr">
        <is>
          <t>Non testé</t>
        </is>
      </c>
      <c r="J17" s="7" t="n"/>
      <c r="K17" s="7" t="n"/>
      <c r="L17" s="7" t="n"/>
    </row>
    <row r="18">
      <c r="A18" s="7" t="inlineStr">
        <is>
          <t>PRJ-14</t>
        </is>
      </c>
      <c r="B18" s="7" t="inlineStr">
        <is>
          <t>Chef de projet sans contact</t>
        </is>
      </c>
      <c r="C18" s="7" t="inlineStr">
        <is>
          <t>INF (infrastructures@sygep.test)</t>
        </is>
      </c>
      <c r="D18" s="7" t="inlineStr">
        <is>
          <t>—</t>
        </is>
      </c>
      <c r="E18" s="7" t="inlineStr">
        <is>
          <t>1. Nom et prénom seulement</t>
        </is>
      </c>
      <c r="F18" s="7" t="inlineStr">
        <is>
          <t>Refus : « Indiquez au moins un téléphone ou un e-mail… »</t>
        </is>
      </c>
      <c r="G18" s="7" t="inlineStr">
        <is>
          <t>Majeur</t>
        </is>
      </c>
      <c r="H18" s="7" t="inlineStr">
        <is>
          <t>OK</t>
        </is>
      </c>
      <c r="I18" s="7" t="inlineStr">
        <is>
          <t>Non testé</t>
        </is>
      </c>
      <c r="J18" s="7" t="n"/>
      <c r="K18" s="7" t="n"/>
      <c r="L18" s="7" t="n"/>
    </row>
    <row r="19">
      <c r="A19" s="7" t="inlineStr">
        <is>
          <t>PRJ-15</t>
        </is>
      </c>
      <c r="B19" s="7" t="inlineStr">
        <is>
          <t>Chef de projet sans nom</t>
        </is>
      </c>
      <c r="C19" s="7" t="inlineStr">
        <is>
          <t>INF (infrastructures@sygep.test)</t>
        </is>
      </c>
      <c r="D19" s="7" t="inlineStr">
        <is>
          <t>—</t>
        </is>
      </c>
      <c r="E19" s="7" t="inlineStr">
        <is>
          <t>1. Laisser nom et prénom vides</t>
        </is>
      </c>
      <c r="F19" s="7" t="inlineStr">
        <is>
          <t>Refus.</t>
        </is>
      </c>
      <c r="G19" s="7" t="inlineStr">
        <is>
          <t>Critique</t>
        </is>
      </c>
      <c r="H19" s="7" t="inlineStr">
        <is>
          <t>OK</t>
        </is>
      </c>
      <c r="I19" s="7" t="inlineStr">
        <is>
          <t>Non testé</t>
        </is>
      </c>
      <c r="J19" s="7" t="n"/>
      <c r="K19" s="7" t="n"/>
      <c r="L19" s="7" t="n"/>
    </row>
    <row r="20">
      <c r="A20" s="7" t="inlineStr">
        <is>
          <t>PRJ-16</t>
        </is>
      </c>
      <c r="B20" s="7" t="inlineStr">
        <is>
          <t>Entreprise sans organisme</t>
        </is>
      </c>
      <c r="C20" s="7" t="inlineStr">
        <is>
          <t>INF (infrastructures@sygep.test)</t>
        </is>
      </c>
      <c r="D20" s="7" t="inlineStr">
        <is>
          <t>—</t>
        </is>
      </c>
      <c r="E20" s="7" t="inlineStr">
        <is>
          <t>1. Intervenants &gt; Ajouter
2. Type « Entreprise de travaux », organisme vide, un téléphone</t>
        </is>
      </c>
      <c r="F20" s="7" t="inlineStr">
        <is>
          <t>Refus : « Indiquez l'entreprise ou l'organisme de cet intervenant. »</t>
        </is>
      </c>
      <c r="G20" s="7" t="inlineStr">
        <is>
          <t>Majeur</t>
        </is>
      </c>
      <c r="H20" s="7" t="inlineStr">
        <is>
          <t>OK</t>
        </is>
      </c>
      <c r="I20" s="7" t="inlineStr">
        <is>
          <t>Non testé</t>
        </is>
      </c>
      <c r="J20" s="7" t="n"/>
      <c r="K20" s="7" t="n"/>
      <c r="L20" s="7" t="n"/>
    </row>
    <row r="21">
      <c r="A21" s="7" t="inlineStr">
        <is>
          <t>PRJ-17</t>
        </is>
      </c>
      <c r="B21" s="7" t="inlineStr">
        <is>
          <t>Technicien indépendant</t>
        </is>
      </c>
      <c r="C21" s="7" t="inlineStr">
        <is>
          <t>INF (infrastructures@sygep.test)</t>
        </is>
      </c>
      <c r="D21" s="7" t="inlineStr">
        <is>
          <t>—</t>
        </is>
      </c>
      <c r="E21" s="7" t="inlineStr">
        <is>
          <t>1. Type « Technicien / artisan », nom, téléphone, organisme vide</t>
        </is>
      </c>
      <c r="F21" s="7" t="inlineStr">
        <is>
          <t>Accepté.</t>
        </is>
      </c>
      <c r="G21" s="7" t="inlineStr">
        <is>
          <t>Mineur</t>
        </is>
      </c>
      <c r="H21" s="7" t="inlineStr">
        <is>
          <t>OK</t>
        </is>
      </c>
      <c r="I21" s="7" t="inlineStr">
        <is>
          <t>Non testé</t>
        </is>
      </c>
      <c r="J21" s="7" t="n"/>
      <c r="K21" s="7" t="n"/>
      <c r="L21" s="7" t="n"/>
    </row>
    <row r="22">
      <c r="A22" s="7" t="inlineStr">
        <is>
          <t>PRJ-18</t>
        </is>
      </c>
      <c r="B22" s="7" t="inlineStr">
        <is>
          <t>Intervenant sans moyen de contact</t>
        </is>
      </c>
      <c r="C22" s="7" t="inlineStr">
        <is>
          <t>INF (infrastructures@sygep.test)</t>
        </is>
      </c>
      <c r="D22" s="7" t="inlineStr">
        <is>
          <t>—</t>
        </is>
      </c>
      <c r="E22" s="7" t="inlineStr">
        <is>
          <t>1. Ni téléphone ni e-mail</t>
        </is>
      </c>
      <c r="F22" s="7" t="inlineStr">
        <is>
          <t>Refus : au moins un des deux.</t>
        </is>
      </c>
      <c r="G22" s="7" t="inlineStr">
        <is>
          <t>Majeur</t>
        </is>
      </c>
      <c r="H22" s="7" t="inlineStr">
        <is>
          <t>OK</t>
        </is>
      </c>
      <c r="I22" s="7" t="inlineStr">
        <is>
          <t>Non testé</t>
        </is>
      </c>
      <c r="J22" s="7" t="n"/>
      <c r="K22" s="7" t="n"/>
      <c r="L22" s="7" t="n"/>
    </row>
    <row r="23">
      <c r="A23" s="7" t="inlineStr">
        <is>
          <t>PRJ-19</t>
        </is>
      </c>
      <c r="B23" s="7" t="inlineStr">
        <is>
          <t>Rapport de projet</t>
        </is>
      </c>
      <c r="C23" s="7" t="inlineStr">
        <is>
          <t>INF (infrastructures@sygep.test)</t>
        </is>
      </c>
      <c r="D23" s="7" t="inlineStr">
        <is>
          <t>Un projet et un fichier de moins de 25 Mo</t>
        </is>
      </c>
      <c r="E23" s="7" t="inlineStr">
        <is>
          <t>1. Rapports &gt; Ajouter
2. Titre, fichier, date du jour, projet
3. Enregistrer</t>
        </is>
      </c>
      <c r="F23" s="7" t="inlineStr">
        <is>
          <t>Le rapport apparaît dans la liste et dans la fiche du projet.</t>
        </is>
      </c>
      <c r="G23" s="7" t="inlineStr">
        <is>
          <t>Majeur</t>
        </is>
      </c>
      <c r="H23" s="7" t="inlineStr">
        <is>
          <t>Manuel</t>
        </is>
      </c>
      <c r="I23" s="7" t="inlineStr">
        <is>
          <t>Non testé</t>
        </is>
      </c>
      <c r="J23" s="7" t="n"/>
      <c r="K23" s="7" t="n"/>
      <c r="L23" s="7" t="n"/>
    </row>
    <row r="24">
      <c r="A24" s="7" t="inlineStr">
        <is>
          <t>PRJ-20</t>
        </is>
      </c>
      <c r="B24" s="7" t="inlineStr">
        <is>
          <t>Rapport : date future ou sans projet</t>
        </is>
      </c>
      <c r="C24" s="7" t="inlineStr">
        <is>
          <t>INF (infrastructures@sygep.test)</t>
        </is>
      </c>
      <c r="D24" s="7" t="inlineStr">
        <is>
          <t>—</t>
        </is>
      </c>
      <c r="E24" s="7" t="inlineStr">
        <is>
          <t>1. Date de demain, puis aucun projet</t>
        </is>
      </c>
      <c r="F24" s="7" t="inlineStr">
        <is>
          <t>Refus dans les deux cas.</t>
        </is>
      </c>
      <c r="G24" s="7" t="inlineStr">
        <is>
          <t>Mineur</t>
        </is>
      </c>
      <c r="H24" s="7" t="inlineStr">
        <is>
          <t>OK</t>
        </is>
      </c>
      <c r="I24" s="7" t="inlineStr">
        <is>
          <t>Non testé</t>
        </is>
      </c>
      <c r="J24" s="7" t="n"/>
      <c r="K24" s="7" t="n"/>
      <c r="L24" s="7" t="n"/>
    </row>
  </sheetData>
  <autoFilter ref="A4:L24"/>
  <conditionalFormatting sqref="I5:I24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24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MNT – Demandes de maintenance (circuit complet)</t>
        </is>
      </c>
    </row>
    <row r="2">
      <c r="A2" t="inlineStr">
        <is>
          <t>Vérifier chaque étape du circuit et ses effets sur les matières et infrastructures.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MNT-01</t>
        </is>
      </c>
      <c r="B5" s="7" t="inlineStr">
        <is>
          <t>Déposer une demande valide</t>
        </is>
      </c>
      <c r="C5" s="7" t="inlineStr">
        <is>
          <t>AGT (agent@sygep.test)</t>
        </is>
      </c>
      <c r="D5" s="7" t="inlineStr">
        <is>
          <t>Une matière du service existe</t>
        </is>
      </c>
      <c r="E5" s="7" t="inlineStr">
        <is>
          <t>1. Demandes de maintenance &gt; Ajouter
2. Objet, type Corrective, priorité Normale, Concerne « Matière », choisir la matière
3. Décrire le problème
4. Enregistrer</t>
        </is>
      </c>
      <c r="F5" s="7" t="inlineStr">
        <is>
          <t>La demande reçoit une référence DMT-AAAA-nnn au statut « Soumise ». Message « transmise pour validation ».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MNT-02</t>
        </is>
      </c>
      <c r="B6" s="7" t="inlineStr">
        <is>
          <t>Description obligatoire</t>
        </is>
      </c>
      <c r="C6" s="7" t="inlineStr">
        <is>
          <t>AGT (agent@sygep.test)</t>
        </is>
      </c>
      <c r="D6" s="7" t="inlineStr">
        <is>
          <t>—</t>
        </is>
      </c>
      <c r="E6" s="7" t="inlineStr">
        <is>
          <t>1. Déposer une demande sans description</t>
        </is>
      </c>
      <c r="F6" s="7" t="inlineStr">
        <is>
          <t>Refus : « Décrivez le problème (constat, localisation, depuis quand)… »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MNT-03</t>
        </is>
      </c>
      <c r="B7" s="7" t="inlineStr">
        <is>
          <t>Cible infrastructure sans infrastructure</t>
        </is>
      </c>
      <c r="C7" s="7" t="inlineStr">
        <is>
          <t>AGT (agent@sygep.test)</t>
        </is>
      </c>
      <c r="D7" s="7" t="inlineStr">
        <is>
          <t>—</t>
        </is>
      </c>
      <c r="E7" s="7" t="inlineStr">
        <is>
          <t>1. Concerne « Bâtiment / infrastructure », aucune infrastructure choisie</t>
        </is>
      </c>
      <c r="F7" s="7" t="inlineStr">
        <is>
          <t>Refus : « Choisissez l'infrastructure concernée. »</t>
        </is>
      </c>
      <c r="G7" s="7" t="inlineStr">
        <is>
          <t>Majeur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MNT-04</t>
        </is>
      </c>
      <c r="B8" s="7" t="inlineStr">
        <is>
          <t>Cible matière sans matière</t>
        </is>
      </c>
      <c r="C8" s="7" t="inlineStr">
        <is>
          <t>AGT (agent@sygep.test)</t>
        </is>
      </c>
      <c r="D8" s="7" t="inlineStr">
        <is>
          <t>—</t>
        </is>
      </c>
      <c r="E8" s="7" t="inlineStr">
        <is>
          <t>1. Concerne « Matière / équipement », aucune matière choisie</t>
        </is>
      </c>
      <c r="F8" s="7" t="inlineStr">
        <is>
          <t>Refus : « Choisissez la matière concernée. »</t>
        </is>
      </c>
      <c r="G8" s="7" t="inlineStr">
        <is>
          <t>Majeur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MNT-05</t>
        </is>
      </c>
      <c r="B9" s="7" t="inlineStr">
        <is>
          <t>Notification au responsable</t>
        </is>
      </c>
      <c r="C9" s="7" t="inlineStr">
        <is>
          <t>MNT (maintenance@sygep.test)</t>
        </is>
      </c>
      <c r="D9" s="7" t="inlineStr">
        <is>
          <t>Demande MNT-01 déposée</t>
        </is>
      </c>
      <c r="E9" s="7" t="inlineStr">
        <is>
          <t>1. Se connecter en MNT
2. Ouvrir la cloche</t>
        </is>
      </c>
      <c r="F9" s="7" t="inlineStr">
        <is>
          <t>Une notification « Nouvelle demande de maintenance … à valider » est présente, avec un lien vers la demande.</t>
        </is>
      </c>
      <c r="G9" s="7" t="inlineStr">
        <is>
          <t>Majeur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MNT-06</t>
        </is>
      </c>
      <c r="B10" s="7" t="inlineStr">
        <is>
          <t>Avis technique favorable</t>
        </is>
      </c>
      <c r="C10" s="7" t="inlineStr">
        <is>
          <t>MNT (maintenance@sygep.test)</t>
        </is>
      </c>
      <c r="D10" s="7" t="inlineStr">
        <is>
          <t>Demande « Soumise »</t>
        </is>
      </c>
      <c r="E10" s="7" t="inlineStr">
        <is>
          <t>1. Ouvrir la demande
2. Bloc « Avis technique » &gt; Valider</t>
        </is>
      </c>
      <c r="F10" s="7" t="inlineStr">
        <is>
          <t>Statut « Attente du Directeur ». Le Directeur reçoit une notification.</t>
        </is>
      </c>
      <c r="G10" s="7" t="inlineStr">
        <is>
          <t>Critique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MNT-07</t>
        </is>
      </c>
      <c r="B11" s="7" t="inlineStr">
        <is>
          <t>Rejet sans motif</t>
        </is>
      </c>
      <c r="C11" s="7" t="inlineStr">
        <is>
          <t>MNT (maintenance@sygep.test)</t>
        </is>
      </c>
      <c r="D11" s="7" t="inlineStr">
        <is>
          <t>Demande « Soumise »</t>
        </is>
      </c>
      <c r="E11" s="7" t="inlineStr">
        <is>
          <t>1. Rejeter sans saisir de motif</t>
        </is>
      </c>
      <c r="F11" s="7" t="inlineStr">
        <is>
          <t>Refus : « Indiquez le motif du rejet. »</t>
        </is>
      </c>
      <c r="G11" s="7" t="inlineStr">
        <is>
          <t>Critique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MNT-08</t>
        </is>
      </c>
      <c r="B12" s="7" t="inlineStr">
        <is>
          <t>Rejet avec motif</t>
        </is>
      </c>
      <c r="C12" s="7" t="inlineStr">
        <is>
          <t>MNT (maintenance@sygep.test)</t>
        </is>
      </c>
      <c r="D12" s="7" t="inlineStr">
        <is>
          <t>Demande « Soumise »</t>
        </is>
      </c>
      <c r="E12" s="7" t="inlineStr">
        <is>
          <t>1. Rejeter avec un motif</t>
        </is>
      </c>
      <c r="F12" s="7" t="inlineStr">
        <is>
          <t>Statut « Rejetée ». Le demandeur est notifié ; le motif est visible dans le suivi.</t>
        </is>
      </c>
      <c r="G12" s="7" t="inlineStr">
        <is>
          <t>Critique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MNT-09</t>
        </is>
      </c>
      <c r="B13" s="7" t="inlineStr">
        <is>
          <t>Approbation du Directeur</t>
        </is>
      </c>
      <c r="C13" s="7" t="inlineStr">
        <is>
          <t>DIR (directeur@sygep.test)</t>
        </is>
      </c>
      <c r="D13" s="7" t="inlineStr">
        <is>
          <t>Demande « Attente du Directeur »</t>
        </is>
      </c>
      <c r="E13" s="7" t="inlineStr">
        <is>
          <t>1. Ouvrir la demande
2. Bloc « Approbation du Directeur » &gt; Valider</t>
        </is>
      </c>
      <c r="F13" s="7" t="inlineStr">
        <is>
          <t>Statut « Approuvée ». Le responsable maintenance est notifié.</t>
        </is>
      </c>
      <c r="G13" s="7" t="inlineStr">
        <is>
          <t>Critique</t>
        </is>
      </c>
      <c r="H13" s="7" t="inlineStr">
        <is>
          <t>OK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MNT-10</t>
        </is>
      </c>
      <c r="B14" s="7" t="inlineStr">
        <is>
          <t>Le Directeur ne donne pas l'avis technique</t>
        </is>
      </c>
      <c r="C14" s="7" t="inlineStr">
        <is>
          <t>DIR (directeur@sygep.test)</t>
        </is>
      </c>
      <c r="D14" s="7" t="inlineStr">
        <is>
          <t>Demande « Soumise »</t>
        </is>
      </c>
      <c r="E14" s="7" t="inlineStr">
        <is>
          <t>1. Ouvrir la demande</t>
        </is>
      </c>
      <c r="F14" s="7" t="inlineStr">
        <is>
          <t>Aucun bouton de décision n'est proposé (ou erreur 403 si l'action est forcée).</t>
        </is>
      </c>
      <c r="G14" s="7" t="inlineStr">
        <is>
          <t>Majeur</t>
        </is>
      </c>
      <c r="H14" s="7" t="inlineStr">
        <is>
          <t>OK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MNT-11</t>
        </is>
      </c>
      <c r="B15" s="7" t="inlineStr">
        <is>
          <t>Le responsable maintenance n'approuve pas</t>
        </is>
      </c>
      <c r="C15" s="7" t="inlineStr">
        <is>
          <t>MNT (maintenance@sygep.test)</t>
        </is>
      </c>
      <c r="D15" s="7" t="inlineStr">
        <is>
          <t>Demande « Attente du Directeur »</t>
        </is>
      </c>
      <c r="E15" s="7" t="inlineStr">
        <is>
          <t>1. Ouvrir la demande</t>
        </is>
      </c>
      <c r="F15" s="7" t="inlineStr">
        <is>
          <t>Aucun bouton d'approbation n'est proposé.</t>
        </is>
      </c>
      <c r="G15" s="7" t="inlineStr">
        <is>
          <t>Majeur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MNT-12</t>
        </is>
      </c>
      <c r="B16" s="7" t="inlineStr">
        <is>
          <t>Planifier</t>
        </is>
      </c>
      <c r="C16" s="7" t="inlineStr">
        <is>
          <t>MNT (maintenance@sygep.test)</t>
        </is>
      </c>
      <c r="D16" s="7" t="inlineStr">
        <is>
          <t>Demande « Approuvée »</t>
        </is>
      </c>
      <c r="E16" s="7" t="inlineStr">
        <is>
          <t>1. Bloc « Planifier » : date prévue, échéance, technicien, instructions
2. Enregistrer</t>
        </is>
      </c>
      <c r="F16" s="7" t="inlineStr">
        <is>
          <t>Statut « Planifiée ». Une tâche « [DMT-…] Objet » apparaît dans Tâches et dans le calendrier. Le technicien est notifié.</t>
        </is>
      </c>
      <c r="G16" s="7" t="inlineStr">
        <is>
          <t>Critique</t>
        </is>
      </c>
      <c r="H16" s="7" t="inlineStr">
        <is>
          <t>OK</t>
        </is>
      </c>
      <c r="I16" s="7" t="inlineStr">
        <is>
          <t>Non testé</t>
        </is>
      </c>
      <c r="J16" s="7" t="n"/>
      <c r="K16" s="7" t="n"/>
      <c r="L16" s="7" t="n"/>
    </row>
    <row r="17">
      <c r="A17" s="7" t="inlineStr">
        <is>
          <t>MNT-13</t>
        </is>
      </c>
      <c r="B17" s="7" t="inlineStr">
        <is>
          <t>Planification : date prévue obligatoire</t>
        </is>
      </c>
      <c r="C17" s="7" t="inlineStr">
        <is>
          <t>MNT (maintenance@sygep.test)</t>
        </is>
      </c>
      <c r="D17" s="7" t="inlineStr">
        <is>
          <t>—</t>
        </is>
      </c>
      <c r="E17" s="7" t="inlineStr">
        <is>
          <t>1. Planifier sans date prévue</t>
        </is>
      </c>
      <c r="F17" s="7" t="inlineStr">
        <is>
          <t>Refus.</t>
        </is>
      </c>
      <c r="G17" s="7" t="inlineStr">
        <is>
          <t>Majeur</t>
        </is>
      </c>
      <c r="H17" s="7" t="inlineStr">
        <is>
          <t>OK</t>
        </is>
      </c>
      <c r="I17" s="7" t="inlineStr">
        <is>
          <t>Non testé</t>
        </is>
      </c>
      <c r="J17" s="7" t="n"/>
      <c r="K17" s="7" t="n"/>
      <c r="L17" s="7" t="n"/>
    </row>
    <row r="18">
      <c r="A18" s="7" t="inlineStr">
        <is>
          <t>MNT-14</t>
        </is>
      </c>
      <c r="B18" s="7" t="inlineStr">
        <is>
          <t>Planification : échéance avant la date prévue</t>
        </is>
      </c>
      <c r="C18" s="7" t="inlineStr">
        <is>
          <t>MNT (maintenance@sygep.test)</t>
        </is>
      </c>
      <c r="D18" s="7" t="inlineStr">
        <is>
          <t>—</t>
        </is>
      </c>
      <c r="E18" s="7" t="inlineStr">
        <is>
          <t>1. Échéance antérieure à la date prévue</t>
        </is>
      </c>
      <c r="F18" s="7" t="inlineStr">
        <is>
          <t>Refus (l'échéance doit être égale ou postérieure).</t>
        </is>
      </c>
      <c r="G18" s="7" t="inlineStr">
        <is>
          <t>Majeur</t>
        </is>
      </c>
      <c r="H18" s="7" t="inlineStr">
        <is>
          <t>OK</t>
        </is>
      </c>
      <c r="I18" s="7" t="inlineStr">
        <is>
          <t>Non testé</t>
        </is>
      </c>
      <c r="J18" s="7" t="n"/>
      <c r="K18" s="7" t="n"/>
      <c r="L18" s="7" t="n"/>
    </row>
    <row r="19">
      <c r="A19" s="7" t="inlineStr">
        <is>
          <t>MNT-15</t>
        </is>
      </c>
      <c r="B19" s="7" t="inlineStr">
        <is>
          <t>Démarrer l'intervention sur une matière</t>
        </is>
      </c>
      <c r="C19" s="7" t="inlineStr">
        <is>
          <t>MNT (maintenance@sygep.test)</t>
        </is>
      </c>
      <c r="D19" s="7" t="inlineStr">
        <is>
          <t>Demande planifiée portant sur une matière</t>
        </is>
      </c>
      <c r="E19" s="7" t="inlineStr">
        <is>
          <t>1. Démarrer l'intervention</t>
        </is>
      </c>
      <c r="F19" s="7" t="inlineStr">
        <is>
          <t>Statut « En cours ». La matière passe « En réparation ». La tâche passe « En cours ».</t>
        </is>
      </c>
      <c r="G19" s="7" t="inlineStr">
        <is>
          <t>Critique</t>
        </is>
      </c>
      <c r="H19" s="7" t="inlineStr">
        <is>
          <t>OK</t>
        </is>
      </c>
      <c r="I19" s="7" t="inlineStr">
        <is>
          <t>Non testé</t>
        </is>
      </c>
      <c r="J19" s="7" t="n"/>
      <c r="K19" s="7" t="n"/>
      <c r="L19" s="7" t="n"/>
    </row>
    <row r="20">
      <c r="A20" s="7" t="inlineStr">
        <is>
          <t>MNT-16</t>
        </is>
      </c>
      <c r="B20" s="7" t="inlineStr">
        <is>
          <t>Démarrer sur une infrastructure urgente</t>
        </is>
      </c>
      <c r="C20" s="7" t="inlineStr">
        <is>
          <t>MNT (maintenance@sygep.test)</t>
        </is>
      </c>
      <c r="D20" s="7" t="inlineStr">
        <is>
          <t>Demande urgente sur une infrastructure « En service »</t>
        </is>
      </c>
      <c r="E20" s="7" t="inlineStr">
        <is>
          <t>1. Démarrer l'intervention</t>
        </is>
      </c>
      <c r="F20" s="7" t="inlineStr">
        <is>
          <t>L'infrastructure passe « En maintenance ».</t>
        </is>
      </c>
      <c r="G20" s="7" t="inlineStr">
        <is>
          <t>Majeur</t>
        </is>
      </c>
      <c r="H20" s="7" t="inlineStr">
        <is>
          <t>OK</t>
        </is>
      </c>
      <c r="I20" s="7" t="inlineStr">
        <is>
          <t>Non testé</t>
        </is>
      </c>
      <c r="J20" s="7" t="n"/>
      <c r="K20" s="7" t="n"/>
      <c r="L20" s="7" t="n"/>
    </row>
    <row r="21">
      <c r="A21" s="7" t="inlineStr">
        <is>
          <t>MNT-17</t>
        </is>
      </c>
      <c r="B21" s="7" t="inlineStr">
        <is>
          <t>Clôture sans compte rendu</t>
        </is>
      </c>
      <c r="C21" s="7" t="inlineStr">
        <is>
          <t>MNT (maintenance@sygep.test)</t>
        </is>
      </c>
      <c r="D21" s="7" t="inlineStr">
        <is>
          <t>Demande « En cours »</t>
        </is>
      </c>
      <c r="E21" s="7" t="inlineStr">
        <is>
          <t>1. Clôturer sans saisir l'intervention réalisée</t>
        </is>
      </c>
      <c r="F21" s="7" t="inlineStr">
        <is>
          <t>Refus : « Décrivez l'intervention réalisée. »</t>
        </is>
      </c>
      <c r="G21" s="7" t="inlineStr">
        <is>
          <t>Critique</t>
        </is>
      </c>
      <c r="H21" s="7" t="inlineStr">
        <is>
          <t>OK</t>
        </is>
      </c>
      <c r="I21" s="7" t="inlineStr">
        <is>
          <t>Non testé</t>
        </is>
      </c>
      <c r="J21" s="7" t="n"/>
      <c r="K21" s="7" t="n"/>
      <c r="L21" s="7" t="n"/>
    </row>
    <row r="22">
      <c r="A22" s="7" t="inlineStr">
        <is>
          <t>MNT-18</t>
        </is>
      </c>
      <c r="B22" s="7" t="inlineStr">
        <is>
          <t>Clôture avec remise en service</t>
        </is>
      </c>
      <c r="C22" s="7" t="inlineStr">
        <is>
          <t>MNT (maintenance@sygep.test)</t>
        </is>
      </c>
      <c r="D22" s="7" t="inlineStr">
        <is>
          <t>Demande en cours sur une matière</t>
        </is>
      </c>
      <c r="E22" s="7" t="inlineStr">
        <is>
          <t>1. Clôturer : compte rendu, coût, cocher « Remise en service »</t>
        </is>
      </c>
      <c r="F22" s="7" t="inlineStr">
        <is>
          <t>Statut « Terminée ». La matière redevient « Disponible » (ou « Affecté » si elle était affectée). Le demandeur est notifié. La tâche passe « Terminée ».</t>
        </is>
      </c>
      <c r="G22" s="7" t="inlineStr">
        <is>
          <t>Critique</t>
        </is>
      </c>
      <c r="H22" s="7" t="inlineStr">
        <is>
          <t>OK</t>
        </is>
      </c>
      <c r="I22" s="7" t="inlineStr">
        <is>
          <t>Non testé</t>
        </is>
      </c>
      <c r="J22" s="7" t="n"/>
      <c r="K22" s="7" t="n"/>
      <c r="L22" s="7" t="n"/>
    </row>
    <row r="23">
      <c r="A23" s="7" t="inlineStr">
        <is>
          <t>MNT-19</t>
        </is>
      </c>
      <c r="B23" s="7" t="inlineStr">
        <is>
          <t>Clôture sans remise en service</t>
        </is>
      </c>
      <c r="C23" s="7" t="inlineStr">
        <is>
          <t>MNT (maintenance@sygep.test)</t>
        </is>
      </c>
      <c r="D23" s="7" t="inlineStr">
        <is>
          <t>Demande en cours sur une matière</t>
        </is>
      </c>
      <c r="E23" s="7" t="inlineStr">
        <is>
          <t>1. Clôturer sans cocher « Remise en service »</t>
        </is>
      </c>
      <c r="F23" s="7" t="inlineStr">
        <is>
          <t>La matière passe « En panne ».</t>
        </is>
      </c>
      <c r="G23" s="7" t="inlineStr">
        <is>
          <t>Critique</t>
        </is>
      </c>
      <c r="H23" s="7" t="inlineStr">
        <is>
          <t>OK</t>
        </is>
      </c>
      <c r="I23" s="7" t="inlineStr">
        <is>
          <t>Non testé</t>
        </is>
      </c>
      <c r="J23" s="7" t="n"/>
      <c r="K23" s="7" t="n"/>
      <c r="L23" s="7" t="n"/>
    </row>
    <row r="24">
      <c r="A24" s="7" t="inlineStr">
        <is>
          <t>MNT-20</t>
        </is>
      </c>
      <c r="B24" s="7" t="inlineStr">
        <is>
          <t>Clôture sur une infrastructure</t>
        </is>
      </c>
      <c r="C24" s="7" t="inlineStr">
        <is>
          <t>MNT (maintenance@sygep.test)</t>
        </is>
      </c>
      <c r="D24" s="7" t="inlineStr">
        <is>
          <t>Infrastructure « En maintenance »</t>
        </is>
      </c>
      <c r="E24" s="7" t="inlineStr">
        <is>
          <t>1. Clôturer en indiquant l'état constaté « Bon »</t>
        </is>
      </c>
      <c r="F24" s="7" t="inlineStr">
        <is>
          <t>L'infrastructure repasse « En service », son état devient « Bon » et sa date de dernière visite est celle du jour.</t>
        </is>
      </c>
      <c r="G24" s="7" t="inlineStr">
        <is>
          <t>Majeur</t>
        </is>
      </c>
      <c r="H24" s="7" t="inlineStr">
        <is>
          <t>OK</t>
        </is>
      </c>
      <c r="I24" s="7" t="inlineStr">
        <is>
          <t>Non testé</t>
        </is>
      </c>
      <c r="J24" s="7" t="n"/>
      <c r="K24" s="7" t="n"/>
      <c r="L24" s="7" t="n"/>
    </row>
    <row r="25">
      <c r="A25" s="7" t="inlineStr">
        <is>
          <t>MNT-21</t>
        </is>
      </c>
      <c r="B25" s="7" t="inlineStr">
        <is>
          <t>Visibilité pour un agent</t>
        </is>
      </c>
      <c r="C25" s="7" t="inlineStr">
        <is>
          <t>AGT (agent@sygep.test)</t>
        </is>
      </c>
      <c r="D25" s="7" t="inlineStr">
        <is>
          <t>Demandes de plusieurs services</t>
        </is>
      </c>
      <c r="E25" s="7" t="inlineStr">
        <is>
          <t>1. Se connecter en AGT
2. Ouvrir Demandes de maintenance</t>
        </is>
      </c>
      <c r="F25" s="7" t="inlineStr">
        <is>
          <t>Il ne voit que ses demandes et celles du matériel de son service.</t>
        </is>
      </c>
      <c r="G25" s="7" t="inlineStr">
        <is>
          <t>Critique</t>
        </is>
      </c>
      <c r="H25" s="7" t="inlineStr">
        <is>
          <t>OK</t>
        </is>
      </c>
      <c r="I25" s="7" t="inlineStr">
        <is>
          <t>Non testé</t>
        </is>
      </c>
      <c r="J25" s="7" t="n"/>
      <c r="K25" s="7" t="n"/>
      <c r="L25" s="7" t="n"/>
    </row>
    <row r="26">
      <c r="A26" s="7" t="inlineStr">
        <is>
          <t>MNT-22</t>
        </is>
      </c>
      <c r="B26" s="7" t="inlineStr">
        <is>
          <t>Liste et chiffres clés</t>
        </is>
      </c>
      <c r="C26" s="7" t="inlineStr">
        <is>
          <t>MNT (maintenance@sygep.test)</t>
        </is>
      </c>
      <c r="D26" s="7" t="inlineStr">
        <is>
          <t>Jeu de démonstration</t>
        </is>
      </c>
      <c r="E26" s="7" t="inlineStr">
        <is>
          <t>1. Demandes de maintenance</t>
        </is>
      </c>
      <c r="F26" s="7" t="inlineStr">
        <is>
          <t>Les chiffres (en attente, en cours, terminées…) sont cohérents avec la liste ; les statuts ont des pastilles de couleur.</t>
        </is>
      </c>
      <c r="G26" s="7" t="inlineStr">
        <is>
          <t>Mineur</t>
        </is>
      </c>
      <c r="H26" s="7" t="inlineStr">
        <is>
          <t>OK</t>
        </is>
      </c>
      <c r="I26" s="7" t="inlineStr">
        <is>
          <t>Non testé</t>
        </is>
      </c>
      <c r="J26" s="7" t="n"/>
      <c r="K26" s="7" t="n"/>
      <c r="L26" s="7" t="n"/>
    </row>
    <row r="27">
      <c r="A27" s="7" t="inlineStr">
        <is>
          <t>MNT-23</t>
        </is>
      </c>
      <c r="B27" s="7" t="inlineStr">
        <is>
          <t>Supprimer une demande</t>
        </is>
      </c>
      <c r="C27" s="7" t="inlineStr">
        <is>
          <t>ADM (admin@admin.com)</t>
        </is>
      </c>
      <c r="D27" s="7" t="inlineStr">
        <is>
          <t>Une demande de test</t>
        </is>
      </c>
      <c r="E27" s="7" t="inlineStr">
        <is>
          <t>1. Supprimer la demande
2. Confirmer</t>
        </is>
      </c>
      <c r="F27" s="7" t="inlineStr">
        <is>
          <t>Elle disparaît de la liste.</t>
        </is>
      </c>
      <c r="G27" s="7" t="inlineStr">
        <is>
          <t>Mineur</t>
        </is>
      </c>
      <c r="H27" s="7" t="inlineStr">
        <is>
          <t>OK</t>
        </is>
      </c>
      <c r="I27" s="7" t="inlineStr">
        <is>
          <t>Non testé</t>
        </is>
      </c>
      <c r="J27" s="7" t="n"/>
      <c r="K27" s="7" t="n"/>
      <c r="L27" s="7" t="n"/>
    </row>
  </sheetData>
  <autoFilter ref="A4:L27"/>
  <conditionalFormatting sqref="I5:I27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27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PRV – Maintenance préventive</t>
        </is>
      </c>
    </row>
    <row r="2">
      <c r="A2" t="inlineStr">
        <is>
          <t>Vérifier la génération automatique des demandes d'entretien.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PRV-01</t>
        </is>
      </c>
      <c r="B5" s="7" t="inlineStr">
        <is>
          <t>Créer un plan valide</t>
        </is>
      </c>
      <c r="C5" s="7" t="inlineStr">
        <is>
          <t>MNT (maintenance@sygep.test)</t>
        </is>
      </c>
      <c r="D5" s="7" t="inlineStr">
        <is>
          <t>Une matière ou infrastructure</t>
        </is>
      </c>
      <c r="E5" s="7" t="inlineStr">
        <is>
          <t>1. Maintenance préventive &gt; Ajouter
2. Opération, cible, périodicité Semestrielle, échéance dans 20 jours, délai 7 jours, points de contrôle
3. Enregistrer</t>
        </is>
      </c>
      <c r="F5" s="7" t="inlineStr">
        <is>
          <t>Le plan apparaît, actif, avec sa prochaine échéance.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PRV-02</t>
        </is>
      </c>
      <c r="B6" s="7" t="inlineStr">
        <is>
          <t>Points de contrôle obligatoires</t>
        </is>
      </c>
      <c r="C6" s="7" t="inlineStr">
        <is>
          <t>MNT (maintenance@sygep.test)</t>
        </is>
      </c>
      <c r="D6" s="7" t="inlineStr">
        <is>
          <t>—</t>
        </is>
      </c>
      <c r="E6" s="7" t="inlineStr">
        <is>
          <t>1. Créer un plan sans points de contrôle</t>
        </is>
      </c>
      <c r="F6" s="7" t="inlineStr">
        <is>
          <t>Refus : « Listez les points de contrôle à vérifier à chaque opération. »</t>
        </is>
      </c>
      <c r="G6" s="7" t="inlineStr">
        <is>
          <t>Majeur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PRV-03</t>
        </is>
      </c>
      <c r="B7" s="7" t="inlineStr">
        <is>
          <t>Échéance dans le passé</t>
        </is>
      </c>
      <c r="C7" s="7" t="inlineStr">
        <is>
          <t>MNT (maintenance@sygep.test)</t>
        </is>
      </c>
      <c r="D7" s="7" t="inlineStr">
        <is>
          <t>—</t>
        </is>
      </c>
      <c r="E7" s="7" t="inlineStr">
        <is>
          <t>1. Prochaine échéance = hier (à la création)</t>
        </is>
      </c>
      <c r="F7" s="7" t="inlineStr">
        <is>
          <t>Refus : « La prochaine échéance ne peut pas être dans le passé. »</t>
        </is>
      </c>
      <c r="G7" s="7" t="inlineStr">
        <is>
          <t>Majeur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PRV-04</t>
        </is>
      </c>
      <c r="B8" s="7" t="inlineStr">
        <is>
          <t>Délai supérieur à la périodicité</t>
        </is>
      </c>
      <c r="C8" s="7" t="inlineStr">
        <is>
          <t>MNT (maintenance@sygep.test)</t>
        </is>
      </c>
      <c r="D8" s="7" t="inlineStr">
        <is>
          <t>—</t>
        </is>
      </c>
      <c r="E8" s="7" t="inlineStr">
        <is>
          <t>1. Périodicité Mensuelle, délai 45 jours</t>
        </is>
      </c>
      <c r="F8" s="7" t="inlineStr">
        <is>
          <t>Refus : « Le délai de création doit rester inférieur à la périodicité du plan. »</t>
        </is>
      </c>
      <c r="G8" s="7" t="inlineStr">
        <is>
          <t>Majeur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PRV-05</t>
        </is>
      </c>
      <c r="B9" s="7" t="inlineStr">
        <is>
          <t>Lancer un plan</t>
        </is>
      </c>
      <c r="C9" s="7" t="inlineStr">
        <is>
          <t>MNT (maintenance@sygep.test)</t>
        </is>
      </c>
      <c r="D9" s="7" t="inlineStr">
        <is>
          <t>Un plan actif</t>
        </is>
      </c>
      <c r="E9" s="7" t="inlineStr">
        <is>
          <t>1. Cliquer ⚡ « Lancer » sur le plan</t>
        </is>
      </c>
      <c r="F9" s="7" t="inlineStr">
        <is>
          <t>Une demande préventive est créée au statut « Attente du Directeur » (avis technique déjà inscrit). Le Directeur et le responsable du plan sont notifiés.</t>
        </is>
      </c>
      <c r="G9" s="7" t="inlineStr">
        <is>
          <t>Critique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PRV-06</t>
        </is>
      </c>
      <c r="B10" s="7" t="inlineStr">
        <is>
          <t>Pas de doublon</t>
        </is>
      </c>
      <c r="C10" s="7" t="inlineStr">
        <is>
          <t>MNT (maintenance@sygep.test)</t>
        </is>
      </c>
      <c r="D10" s="7" t="inlineStr">
        <is>
          <t>Demande préventive déjà générée et encore ouverte</t>
        </is>
      </c>
      <c r="E10" s="7" t="inlineStr">
        <is>
          <t>1. Cliquer de nouveau « Lancer »</t>
        </is>
      </c>
      <c r="F10" s="7" t="inlineStr">
        <is>
          <t>Aucune seconde demande n'est créée.</t>
        </is>
      </c>
      <c r="G10" s="7" t="inlineStr">
        <is>
          <t>Critique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PRV-07</t>
        </is>
      </c>
      <c r="B11" s="7" t="inlineStr">
        <is>
          <t>L'échéance avance</t>
        </is>
      </c>
      <c r="C11" s="7" t="inlineStr">
        <is>
          <t>MNT (maintenance@sygep.test)</t>
        </is>
      </c>
      <c r="D11" s="7" t="inlineStr">
        <is>
          <t>Plan lancé (PRV-05)</t>
        </is>
      </c>
      <c r="E11" s="7" t="inlineStr">
        <is>
          <t>1. Consulter la prochaine échéance du plan</t>
        </is>
      </c>
      <c r="F11" s="7" t="inlineStr">
        <is>
          <t>Elle a avancé d'une période (+ 6 mois pour un plan semestriel).</t>
        </is>
      </c>
      <c r="G11" s="7" t="inlineStr">
        <is>
          <t>Majeur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PRV-08</t>
        </is>
      </c>
      <c r="B12" s="7" t="inlineStr">
        <is>
          <t>Commande automatique</t>
        </is>
      </c>
      <c r="C12" s="7" t="inlineStr">
        <is>
          <t>—</t>
        </is>
      </c>
      <c r="D12" s="7" t="inlineStr">
        <is>
          <t>Accès au serveur ; un plan dont la date « échéance − délai » est atteinte</t>
        </is>
      </c>
      <c r="E12" s="7" t="inlineStr">
        <is>
          <t>1. Exécuter php artisan sygep:maintenance-preventive</t>
        </is>
      </c>
      <c r="F12" s="7" t="inlineStr">
        <is>
          <t>« n demande(s) préventive(s) créée(s) » ; sinon « Aucun entretien à programmer ».</t>
        </is>
      </c>
      <c r="G12" s="7" t="inlineStr">
        <is>
          <t>Critique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PRV-09</t>
        </is>
      </c>
      <c r="B13" s="7" t="inlineStr">
        <is>
          <t>Plan inactif</t>
        </is>
      </c>
      <c r="C13" s="7" t="inlineStr">
        <is>
          <t>MNT (maintenance@sygep.test)</t>
        </is>
      </c>
      <c r="D13" s="7" t="inlineStr">
        <is>
          <t>Un plan dont l'échéance est atteinte</t>
        </is>
      </c>
      <c r="E13" s="7" t="inlineStr">
        <is>
          <t>1. Décocher « Plan actif »
2. Exécuter la commande ou cliquer Lancer</t>
        </is>
      </c>
      <c r="F13" s="7" t="inlineStr">
        <is>
          <t>Aucune demande n'est générée.</t>
        </is>
      </c>
      <c r="G13" s="7" t="inlineStr">
        <is>
          <t>Majeur</t>
        </is>
      </c>
      <c r="H13" s="7" t="inlineStr">
        <is>
          <t>OK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PRV-10</t>
        </is>
      </c>
      <c r="B14" s="7" t="inlineStr">
        <is>
          <t>Planificateur installé</t>
        </is>
      </c>
      <c r="C14" s="7" t="inlineStr">
        <is>
          <t>—</t>
        </is>
      </c>
      <c r="D14" s="7" t="inlineStr">
        <is>
          <t>Accès au serveur</t>
        </is>
      </c>
      <c r="E14" s="7" t="inlineStr">
        <is>
          <t>1. Vérifier la présence de la ligne cron « schedule:run » ; observer le lendemain 6 h 30</t>
        </is>
      </c>
      <c r="F14" s="7" t="inlineStr">
        <is>
          <t>Les plans échus génèrent leur demande sans intervention.</t>
        </is>
      </c>
      <c r="G14" s="7" t="inlineStr">
        <is>
          <t>Critique</t>
        </is>
      </c>
      <c r="H14" s="7" t="inlineStr">
        <is>
          <t>Manuel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PRV-11</t>
        </is>
      </c>
      <c r="B15" s="7" t="inlineStr">
        <is>
          <t>Clôture d'une demande préventive</t>
        </is>
      </c>
      <c r="C15" s="7" t="inlineStr">
        <is>
          <t>MNT (maintenance@sygep.test)</t>
        </is>
      </c>
      <c r="D15" s="7" t="inlineStr">
        <is>
          <t>Demande préventive approuvée puis exécutée</t>
        </is>
      </c>
      <c r="E15" s="7" t="inlineStr">
        <is>
          <t>1. Clôturer l'intervention</t>
        </is>
      </c>
      <c r="F15" s="7" t="inlineStr">
        <is>
          <t>La « dernière réalisation » du plan est mise à la date du jour.</t>
        </is>
      </c>
      <c r="G15" s="7" t="inlineStr">
        <is>
          <t>Mineur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</sheetData>
  <autoFilter ref="A4:L15"/>
  <conditionalFormatting sqref="I5:I15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5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TCH – Tâches, étiquettes et calendrier</t>
        </is>
      </c>
    </row>
    <row r="2">
      <c r="A2" t="inlineStr">
        <is>
          <t>Vérifier l'organisation du travail des équipes.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TCH-01</t>
        </is>
      </c>
      <c r="B5" s="7" t="inlineStr">
        <is>
          <t>Créer une tâche valide</t>
        </is>
      </c>
      <c r="C5" s="7" t="inlineStr">
        <is>
          <t>MNT (maintenance@sygep.test)</t>
        </is>
      </c>
      <c r="D5" s="7" t="inlineStr">
        <is>
          <t>—</t>
        </is>
      </c>
      <c r="E5" s="7" t="inlineStr">
        <is>
          <t>1. Tâches &gt; Ajouter
2. Nom, état « Ouverte », date prévue
3. Enregistrer</t>
        </is>
      </c>
      <c r="F5" s="7" t="inlineStr">
        <is>
          <t>La tâche apparaît dans la liste et dans le calendrier.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TCH-02</t>
        </is>
      </c>
      <c r="B6" s="7" t="inlineStr">
        <is>
          <t>Date limite avant la date prévue</t>
        </is>
      </c>
      <c r="C6" s="7" t="inlineStr">
        <is>
          <t>MNT (maintenance@sygep.test)</t>
        </is>
      </c>
      <c r="D6" s="7" t="inlineStr">
        <is>
          <t>—</t>
        </is>
      </c>
      <c r="E6" s="7" t="inlineStr">
        <is>
          <t>1. Date prévue 20/10, date limite 10/10</t>
        </is>
      </c>
      <c r="F6" s="7" t="inlineStr">
        <is>
          <t>Refus avec message sous la date limite.</t>
        </is>
      </c>
      <c r="G6" s="7" t="inlineStr">
        <is>
          <t>Majeur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TCH-03</t>
        </is>
      </c>
      <c r="B7" s="7" t="inlineStr">
        <is>
          <t>Statuts en français</t>
        </is>
      </c>
      <c r="C7" s="7" t="inlineStr">
        <is>
          <t>MNT (maintenance@sygep.test)</t>
        </is>
      </c>
      <c r="D7" s="7" t="inlineStr">
        <is>
          <t>—</t>
        </is>
      </c>
      <c r="E7" s="7" t="inlineStr">
        <is>
          <t>1. Statuts des tâches</t>
        </is>
      </c>
      <c r="F7" s="7" t="inlineStr">
        <is>
          <t>Ouverte, En cours, Terminée sont présents.</t>
        </is>
      </c>
      <c r="G7" s="7" t="inlineStr">
        <is>
          <t>Critique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TCH-04</t>
        </is>
      </c>
      <c r="B8" s="7" t="inlineStr">
        <is>
          <t>Équipement affiché par nom et code</t>
        </is>
      </c>
      <c r="C8" s="7" t="inlineStr">
        <is>
          <t>MNT (maintenance@sygep.test)</t>
        </is>
      </c>
      <c r="D8" s="7" t="inlineStr">
        <is>
          <t>—</t>
        </is>
      </c>
      <c r="E8" s="7" t="inlineStr">
        <is>
          <t>1. Tâches &gt; Ajouter
2. Ouvrir la liste « Équipement »</t>
        </is>
      </c>
      <c r="F8" s="7" t="inlineStr">
        <is>
          <t>Chaque ligne affiche le nom suivi du code (et non un numéro de série éventuellement vide).</t>
        </is>
      </c>
      <c r="G8" s="7" t="inlineStr">
        <is>
          <t>Majeur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TCH-05</t>
        </is>
      </c>
      <c r="B9" s="7" t="inlineStr">
        <is>
          <t>Étiquettes</t>
        </is>
      </c>
      <c r="C9" s="7" t="inlineStr">
        <is>
          <t>MNT (maintenance@sygep.test)</t>
        </is>
      </c>
      <c r="D9" s="7" t="inlineStr">
        <is>
          <t>—</t>
        </is>
      </c>
      <c r="E9" s="7" t="inlineStr">
        <is>
          <t>1. Étiquettes &gt; Ajouter « Urgent »
2. L'associer à une tâche</t>
        </is>
      </c>
      <c r="F9" s="7" t="inlineStr">
        <is>
          <t>L'étiquette apparaît sur la tâche.</t>
        </is>
      </c>
      <c r="G9" s="7" t="inlineStr">
        <is>
          <t>Mineur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TCH-06</t>
        </is>
      </c>
      <c r="B10" s="7" t="inlineStr">
        <is>
          <t>Calendrier</t>
        </is>
      </c>
      <c r="C10" s="7" t="inlineStr">
        <is>
          <t>MNT (maintenance@sygep.test)</t>
        </is>
      </c>
      <c r="D10" s="7" t="inlineStr">
        <is>
          <t>Une tâche avec date limite et une sans date limite</t>
        </is>
      </c>
      <c r="E10" s="7" t="inlineStr">
        <is>
          <t>1. Calendrier</t>
        </is>
      </c>
      <c r="F10" s="7" t="inlineStr">
        <is>
          <t>Les tâches qui ont une date limite apparaissent à cette date ; celle qui n'en a pas n'apparaît pas.</t>
        </is>
      </c>
      <c r="G10" s="7" t="inlineStr">
        <is>
          <t>Majeur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TCH-07</t>
        </is>
      </c>
      <c r="B11" s="7" t="inlineStr">
        <is>
          <t>Tâche issue d'une maintenance</t>
        </is>
      </c>
      <c r="C11" s="7" t="inlineStr">
        <is>
          <t>MNT (maintenance@sygep.test)</t>
        </is>
      </c>
      <c r="D11" s="7" t="inlineStr">
        <is>
          <t>Demande planifiée (MNT-12)</t>
        </is>
      </c>
      <c r="E11" s="7" t="inlineStr">
        <is>
          <t>1. Tâches</t>
        </is>
      </c>
      <c r="F11" s="7" t="inlineStr">
        <is>
          <t>La tâche créée automatiquement existe, avec l'état qui suit l'intervention.</t>
        </is>
      </c>
      <c r="G11" s="7" t="inlineStr">
        <is>
          <t>Majeur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TCH-08</t>
        </is>
      </c>
      <c r="B12" s="7" t="inlineStr">
        <is>
          <t>Assigner une tâche</t>
        </is>
      </c>
      <c r="C12" s="7" t="inlineStr">
        <is>
          <t>MNT (maintenance@sygep.test)</t>
        </is>
      </c>
      <c r="D12" s="7" t="inlineStr">
        <is>
          <t>—</t>
        </is>
      </c>
      <c r="E12" s="7" t="inlineStr">
        <is>
          <t>1. Choisir un utilisateur dans « Affecté à »</t>
        </is>
      </c>
      <c r="F12" s="7" t="inlineStr">
        <is>
          <t>La tâche affiche le responsable.</t>
        </is>
      </c>
      <c r="G12" s="7" t="inlineStr">
        <is>
          <t>Mineur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</sheetData>
  <autoFilter ref="A4:L12"/>
  <conditionalFormatting sqref="I5:I12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2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RPT – Rapports périodiques</t>
        </is>
      </c>
    </row>
    <row r="2">
      <c r="A2" t="inlineStr">
        <is>
          <t>Vérifier les bilans destinés à la direction.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RPT-01</t>
        </is>
      </c>
      <c r="B5" s="7" t="inlineStr">
        <is>
          <t>Rapport mensuel</t>
        </is>
      </c>
      <c r="C5" s="7" t="inlineStr">
        <is>
          <t>DIR (directeur@sygep.test)</t>
        </is>
      </c>
      <c r="D5" s="7" t="inlineStr">
        <is>
          <t>Nous sommes le 15 octobre (exemple)</t>
        </is>
      </c>
      <c r="E5" s="7" t="inlineStr">
        <is>
          <t>1. Rapports périodiques &gt; carte « Rapport mensuel »</t>
        </is>
      </c>
      <c r="F5" s="7" t="inlineStr">
        <is>
          <t>Un nouvel onglet s'ouvre sur « Septembre 2026 » (le mois précédent), toutes rubriques.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RPT-02</t>
        </is>
      </c>
      <c r="B6" s="7" t="inlineStr">
        <is>
          <t>Rapport trimestriel</t>
        </is>
      </c>
      <c r="C6" s="7" t="inlineStr">
        <is>
          <t>DIR (directeur@sygep.test)</t>
        </is>
      </c>
      <c r="D6" s="7" t="inlineStr">
        <is>
          <t>Même date</t>
        </is>
      </c>
      <c r="E6" s="7" t="inlineStr">
        <is>
          <t>1. Carte « Rapport trimestriel »</t>
        </is>
      </c>
      <c r="F6" s="7" t="inlineStr">
        <is>
          <t>Période : du 01/07 au 30/09 (le trimestre précédent).</t>
        </is>
      </c>
      <c r="G6" s="7" t="inlineStr">
        <is>
          <t>Majeur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RPT-03</t>
        </is>
      </c>
      <c r="B7" s="7" t="inlineStr">
        <is>
          <t>Bilan semestriel</t>
        </is>
      </c>
      <c r="C7" s="7" t="inlineStr">
        <is>
          <t>DIR (directeur@sygep.test)</t>
        </is>
      </c>
      <c r="D7" s="7" t="inlineStr">
        <is>
          <t>Même date</t>
        </is>
      </c>
      <c r="E7" s="7" t="inlineStr">
        <is>
          <t>1. Carte « Bilan semestriel »</t>
        </is>
      </c>
      <c r="F7" s="7" t="inlineStr">
        <is>
          <t>Période : du 01/01 au 30/06 (le semestre précédent, terminé).</t>
        </is>
      </c>
      <c r="G7" s="7" t="inlineStr">
        <is>
          <t>Critique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RPT-04</t>
        </is>
      </c>
      <c r="B8" s="7" t="inlineStr">
        <is>
          <t>Bilan annuel</t>
        </is>
      </c>
      <c r="C8" s="7" t="inlineStr">
        <is>
          <t>DIR (directeur@sygep.test)</t>
        </is>
      </c>
      <c r="D8" s="7" t="inlineStr">
        <is>
          <t>Même date</t>
        </is>
      </c>
      <c r="E8" s="7" t="inlineStr">
        <is>
          <t>1. Carte « Bilan annuel »</t>
        </is>
      </c>
      <c r="F8" s="7" t="inlineStr">
        <is>
          <t>Période : du 01/01 au 31/12 de l'année précédente.</t>
        </is>
      </c>
      <c r="G8" s="7" t="inlineStr">
        <is>
          <t>Majeur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RPT-05</t>
        </is>
      </c>
      <c r="B9" s="7" t="inlineStr">
        <is>
          <t>Composer un rapport</t>
        </is>
      </c>
      <c r="C9" s="7" t="inlineStr">
        <is>
          <t>DIR (directeur@sygep.test)</t>
        </is>
      </c>
      <c r="D9" s="7" t="inlineStr">
        <is>
          <t>—</t>
        </is>
      </c>
      <c r="E9" s="7" t="inlineStr">
        <is>
          <t>1. Choisir « Période personnalisée », renseigner du…au…
2. Décocher une rubrique
3. Générer</t>
        </is>
      </c>
      <c r="F9" s="7" t="inlineStr">
        <is>
          <t>Le rapport couvre la période choisie et n'inclut que les rubriques cochées.</t>
        </is>
      </c>
      <c r="G9" s="7" t="inlineStr">
        <is>
          <t>Majeur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RPT-06</t>
        </is>
      </c>
      <c r="B10" s="7" t="inlineStr">
        <is>
          <t>Impression / PDF</t>
        </is>
      </c>
      <c r="C10" s="7" t="inlineStr">
        <is>
          <t>DIR (directeur@sygep.test)</t>
        </is>
      </c>
      <c r="D10" s="7" t="inlineStr">
        <is>
          <t>Un rapport ouvert</t>
        </is>
      </c>
      <c r="E10" s="7" t="inlineStr">
        <is>
          <t>1. Utiliser « Imprimer » puis « Enregistrer au format PDF »</t>
        </is>
      </c>
      <c r="F10" s="7" t="inlineStr">
        <is>
          <t>La mise en page est correcte (A4), sans la barre d'outils.</t>
        </is>
      </c>
      <c r="G10" s="7" t="inlineStr">
        <is>
          <t>Majeur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RPT-07</t>
        </is>
      </c>
      <c r="B11" s="7" t="inlineStr">
        <is>
          <t>Droit d'accès</t>
        </is>
      </c>
      <c r="C11" s="7" t="inlineStr">
        <is>
          <t>AGT (agent@sygep.test)</t>
        </is>
      </c>
      <c r="D11" s="7" t="inlineStr">
        <is>
          <t>Compte agent</t>
        </is>
      </c>
      <c r="E11" s="7" t="inlineStr">
        <is>
          <t>1. Saisir l'adresse /admin/rapports-periodiques</t>
        </is>
      </c>
      <c r="F11" s="7" t="inlineStr">
        <is>
          <t>Erreur 403.</t>
        </is>
      </c>
      <c r="G11" s="7" t="inlineStr">
        <is>
          <t>Majeur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</sheetData>
  <autoFilter ref="A4:L11"/>
  <conditionalFormatting sqref="I5:I11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1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NTF – Notifications</t>
        </is>
      </c>
    </row>
    <row r="2">
      <c r="A2" t="inlineStr">
        <is>
          <t>Vérifier l'envoi et la lecture des notifications internes.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NTF-01</t>
        </is>
      </c>
      <c r="B5" s="7" t="inlineStr">
        <is>
          <t>Envoyer à tous</t>
        </is>
      </c>
      <c r="C5" s="7" t="inlineStr">
        <is>
          <t>ADM (admin@admin.com)</t>
        </is>
      </c>
      <c r="D5" s="7" t="inlineStr">
        <is>
          <t>—</t>
        </is>
      </c>
      <c r="E5" s="7" t="inlineStr">
        <is>
          <t>1. Envoi de notifications &gt; Ajouter
2. Message, destinataires « Tous les utilisateurs »
3. Enregistrer</t>
        </is>
      </c>
      <c r="F5" s="7" t="inlineStr">
        <is>
          <t>Message « Notification envoyée à N utilisateur(s) ». Chaque compte voit la notification dans sa cloche.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NTF-02</t>
        </is>
      </c>
      <c r="B6" s="7" t="inlineStr">
        <is>
          <t>Envoyer à un rôle</t>
        </is>
      </c>
      <c r="C6" s="7" t="inlineStr">
        <is>
          <t>ADM (admin@admin.com)</t>
        </is>
      </c>
      <c r="D6" s="7" t="inlineStr">
        <is>
          <t>—</t>
        </is>
      </c>
      <c r="E6" s="7" t="inlineStr">
        <is>
          <t>1. Destinataires « Par rôle », choisir « Agent / demandeur »</t>
        </is>
      </c>
      <c r="F6" s="7" t="inlineStr">
        <is>
          <t>Seuls les comptes de ce rôle reçoivent la notification.</t>
        </is>
      </c>
      <c r="G6" s="7" t="inlineStr">
        <is>
          <t>Majeur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NTF-03</t>
        </is>
      </c>
      <c r="B7" s="7" t="inlineStr">
        <is>
          <t>Envoyer à des personnes</t>
        </is>
      </c>
      <c r="C7" s="7" t="inlineStr">
        <is>
          <t>ADM (admin@admin.com)</t>
        </is>
      </c>
      <c r="D7" s="7" t="inlineStr">
        <is>
          <t>—</t>
        </is>
      </c>
      <c r="E7" s="7" t="inlineStr">
        <is>
          <t>1. Destinataires « Personnes choisies », en cocher deux</t>
        </is>
      </c>
      <c r="F7" s="7" t="inlineStr">
        <is>
          <t>Seules ces deux personnes la reçoivent.</t>
        </is>
      </c>
      <c r="G7" s="7" t="inlineStr">
        <is>
          <t>Majeur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NTF-04</t>
        </is>
      </c>
      <c r="B8" s="7" t="inlineStr">
        <is>
          <t>Rôle sans sélection</t>
        </is>
      </c>
      <c r="C8" s="7" t="inlineStr">
        <is>
          <t>ADM (admin@admin.com)</t>
        </is>
      </c>
      <c r="D8" s="7" t="inlineStr">
        <is>
          <t>—</t>
        </is>
      </c>
      <c r="E8" s="7" t="inlineStr">
        <is>
          <t>1. « Par rôle » sans choisir de rôle</t>
        </is>
      </c>
      <c r="F8" s="7" t="inlineStr">
        <is>
          <t>Refus : « Choisissez au moins un rôle. »</t>
        </is>
      </c>
      <c r="G8" s="7" t="inlineStr">
        <is>
          <t>Majeur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NTF-05</t>
        </is>
      </c>
      <c r="B9" s="7" t="inlineStr">
        <is>
          <t>Message trop long</t>
        </is>
      </c>
      <c r="C9" s="7" t="inlineStr">
        <is>
          <t>ADM (admin@admin.com)</t>
        </is>
      </c>
      <c r="D9" s="7" t="inlineStr">
        <is>
          <t>—</t>
        </is>
      </c>
      <c r="E9" s="7" t="inlineStr">
        <is>
          <t>1. Message de plus de 255 caractères</t>
        </is>
      </c>
      <c r="F9" s="7" t="inlineStr">
        <is>
          <t>Refus.</t>
        </is>
      </c>
      <c r="G9" s="7" t="inlineStr">
        <is>
          <t>Mineur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NTF-06</t>
        </is>
      </c>
      <c r="B10" s="7" t="inlineStr">
        <is>
          <t>Adresse personnalisée</t>
        </is>
      </c>
      <c r="C10" s="7" t="inlineStr">
        <is>
          <t>ADM (admin@admin.com)</t>
        </is>
      </c>
      <c r="D10" s="7" t="inlineStr">
        <is>
          <t>—</t>
        </is>
      </c>
      <c r="E10" s="7" t="inlineStr">
        <is>
          <t>1. Page « personnalisée » sans adresse, puis avec « abc »</t>
        </is>
      </c>
      <c r="F10" s="7" t="inlineStr">
        <is>
          <t>Refus dans les deux cas ; une adresse https://… complète est acceptée.</t>
        </is>
      </c>
      <c r="G10" s="7" t="inlineStr">
        <is>
          <t>Mineur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NTF-07</t>
        </is>
      </c>
      <c r="B11" s="7" t="inlineStr">
        <is>
          <t>Ouvrir une notification</t>
        </is>
      </c>
      <c r="C11" s="7" t="inlineStr">
        <is>
          <t>AGT (agent@sygep.test)</t>
        </is>
      </c>
      <c r="D11" s="7" t="inlineStr">
        <is>
          <t>Notification avec lien</t>
        </is>
      </c>
      <c r="E11" s="7" t="inlineStr">
        <is>
          <t>1. Cliquer la cloche puis la notification</t>
        </is>
      </c>
      <c r="F11" s="7" t="inlineStr">
        <is>
          <t>La page cible s'ouvre ; la notification est marquée lue ; le compteur diminue.</t>
        </is>
      </c>
      <c r="G11" s="7" t="inlineStr">
        <is>
          <t>Critique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NTF-08</t>
        </is>
      </c>
      <c r="B12" s="7" t="inlineStr">
        <is>
          <t>Tout marquer comme lu</t>
        </is>
      </c>
      <c r="C12" s="7" t="inlineStr">
        <is>
          <t>AGT (agent@sygep.test)</t>
        </is>
      </c>
      <c r="D12" s="7" t="inlineStr">
        <is>
          <t>Plusieurs notifications non lues</t>
        </is>
      </c>
      <c r="E12" s="7" t="inlineStr">
        <is>
          <t>1. Cliquer « Tout marquer comme lu »</t>
        </is>
      </c>
      <c r="F12" s="7" t="inlineStr">
        <is>
          <t>Le compteur de la cloche tombe à zéro.</t>
        </is>
      </c>
      <c r="G12" s="7" t="inlineStr">
        <is>
          <t>Majeur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NTF-09</t>
        </is>
      </c>
      <c r="B13" s="7" t="inlineStr">
        <is>
          <t>Notifications automatiques</t>
        </is>
      </c>
      <c r="C13" s="7" t="inlineStr">
        <is>
          <t>ADM (admin@admin.com)</t>
        </is>
      </c>
      <c r="D13" s="7" t="inlineStr">
        <is>
          <t>Événements réalisés (stock bas, demande déposée…)</t>
        </is>
      </c>
      <c r="E13" s="7" t="inlineStr">
        <is>
          <t>1. Ouvrir la cloche des comptes concernés</t>
        </is>
      </c>
      <c r="F13" s="7" t="inlineStr">
        <is>
          <t>Les notifications automatiques décrites au guide (5.7) sont présentes.</t>
        </is>
      </c>
      <c r="G13" s="7" t="inlineStr">
        <is>
          <t>Majeur</t>
        </is>
      </c>
      <c r="H13" s="7" t="inlineStr">
        <is>
          <t>Manuel</t>
        </is>
      </c>
      <c r="I13" s="7" t="inlineStr">
        <is>
          <t>Non testé</t>
        </is>
      </c>
      <c r="J13" s="7" t="n"/>
      <c r="K13" s="7" t="n"/>
      <c r="L13" s="7" t="n"/>
    </row>
  </sheetData>
  <autoFilter ref="A4:L13"/>
  <conditionalFormatting sqref="I5:I13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3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DSH – Tableau de bord, listes et ergonomie</t>
        </is>
      </c>
    </row>
    <row r="2">
      <c r="A2" t="inlineStr">
        <is>
          <t>Vérifier l'affichage général, la cohérence des chiffres et l'utilisabilité.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DSH-01</t>
        </is>
      </c>
      <c r="B5" s="7" t="inlineStr">
        <is>
          <t>Tuiles de chiffres clés</t>
        </is>
      </c>
      <c r="C5" s="7" t="inlineStr">
        <is>
          <t>ADM (admin@admin.com)</t>
        </is>
      </c>
      <c r="D5" s="7" t="inlineStr">
        <is>
          <t>Jeu de démonstration</t>
        </is>
      </c>
      <c r="E5" s="7" t="inlineStr">
        <is>
          <t>1. Ouvrir le tableau de bord</t>
        </is>
      </c>
      <c r="F5" s="7" t="inlineStr">
        <is>
          <t>Huit tuiles s'alignent en deux rangées de quatre, de même hauteur.</t>
        </is>
      </c>
      <c r="G5" s="7" t="inlineStr">
        <is>
          <t>Majeur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DSH-02</t>
        </is>
      </c>
      <c r="B6" s="7" t="inlineStr">
        <is>
          <t>Cohérence des chiffres</t>
        </is>
      </c>
      <c r="C6" s="7" t="inlineStr">
        <is>
          <t>ADM (admin@admin.com)</t>
        </is>
      </c>
      <c r="D6" s="7" t="inlineStr">
        <is>
          <t>—</t>
        </is>
      </c>
      <c r="E6" s="7" t="inlineStr">
        <is>
          <t>1. Comparer chaque tuile au module correspondant (ex. Disponibles ↔ liste filtrée)</t>
        </is>
      </c>
      <c r="F6" s="7" t="inlineStr">
        <is>
          <t>Les chiffres du tableau de bord correspondent aux listes.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DSH-03</t>
        </is>
      </c>
      <c r="B7" s="7" t="inlineStr">
        <is>
          <t>Graphiques en bas du tableau de bord</t>
        </is>
      </c>
      <c r="C7" s="7" t="inlineStr">
        <is>
          <t>ADM (admin@admin.com)</t>
        </is>
      </c>
      <c r="D7" s="7" t="inlineStr">
        <is>
          <t>—</t>
        </is>
      </c>
      <c r="E7" s="7" t="inlineStr">
        <is>
          <t>1. Faire défiler le tableau de bord</t>
        </is>
      </c>
      <c r="F7" s="7" t="inlineStr">
        <is>
          <t>Les listes (mouvements, projets, maintenance) précèdent les graphiques placés en bas de page.</t>
        </is>
      </c>
      <c r="G7" s="7" t="inlineStr">
        <is>
          <t>Mineur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DSH-04</t>
        </is>
      </c>
      <c r="B8" s="7" t="inlineStr">
        <is>
          <t>Bloc Graphiques repliable</t>
        </is>
      </c>
      <c r="C8" s="7" t="inlineStr">
        <is>
          <t>ADM (admin@admin.com)</t>
        </is>
      </c>
      <c r="D8" s="7" t="inlineStr">
        <is>
          <t>—</t>
        </is>
      </c>
      <c r="E8" s="7" t="inlineStr">
        <is>
          <t>1. Ouvrir Matières
2. Cliquer « Graphiques (n) »
3. Aller sur un autre module</t>
        </is>
      </c>
      <c r="F8" s="7" t="inlineStr">
        <is>
          <t>Fermé par défaut ; une fois ouvert, il reste ouvert sur les autres modules (choix mémorisé).</t>
        </is>
      </c>
      <c r="G8" s="7" t="inlineStr">
        <is>
          <t>Mineur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DSH-05</t>
        </is>
      </c>
      <c r="B9" s="7" t="inlineStr">
        <is>
          <t>Actions rapides</t>
        </is>
      </c>
      <c r="C9" s="7" t="inlineStr">
        <is>
          <t>ADM (admin@admin.com)</t>
        </is>
      </c>
      <c r="D9" s="7" t="inlineStr">
        <is>
          <t>—</t>
        </is>
      </c>
      <c r="E9" s="7" t="inlineStr">
        <is>
          <t>1. Cliquer chaque bouton d'action rapide du tableau de bord</t>
        </is>
      </c>
      <c r="F9" s="7" t="inlineStr">
        <is>
          <t>Chaque bouton ouvre le bon formulaire. Un bouton n'apparaît que si le droit existe.</t>
        </is>
      </c>
      <c r="G9" s="7" t="inlineStr">
        <is>
          <t>Majeur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DSH-06</t>
        </is>
      </c>
      <c r="B10" s="7" t="inlineStr">
        <is>
          <t>Recherche globale</t>
        </is>
      </c>
      <c r="C10" s="7" t="inlineStr">
        <is>
          <t>ADM (admin@admin.com)</t>
        </is>
      </c>
      <c r="D10" s="7" t="inlineStr">
        <is>
          <t>—</t>
        </is>
      </c>
      <c r="E10" s="7" t="inlineStr">
        <is>
          <t>1. Taper « HP » dans la barre du haut</t>
        </is>
      </c>
      <c r="F10" s="7" t="inlineStr">
        <is>
          <t>Des résultats cliquables (matières, fournisseurs, bons…) apparaissent.</t>
        </is>
      </c>
      <c r="G10" s="7" t="inlineStr">
        <is>
          <t>Majeur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DSH-07</t>
        </is>
      </c>
      <c r="B11" s="7" t="inlineStr">
        <is>
          <t>Actions alignées dans les tableaux</t>
        </is>
      </c>
      <c r="C11" s="7" t="inlineStr">
        <is>
          <t>ADM (admin@admin.com)</t>
        </is>
      </c>
      <c r="D11" s="7" t="inlineStr">
        <is>
          <t>—</t>
        </is>
      </c>
      <c r="E11" s="7" t="inlineStr">
        <is>
          <t>1. Ouvrir Utilisateurs, Matières, Affectations, Plans de maintenance</t>
        </is>
      </c>
      <c r="F11" s="7" t="inlineStr">
        <is>
          <t>Les icônes d'action sont alignées sur une seule ligne dans tous les tableaux.</t>
        </is>
      </c>
      <c r="G11" s="7" t="inlineStr">
        <is>
          <t>Mineur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DSH-08</t>
        </is>
      </c>
      <c r="B12" s="7" t="inlineStr">
        <is>
          <t>Menu : déconnexion en bas</t>
        </is>
      </c>
      <c r="C12" s="7" t="inlineStr">
        <is>
          <t>ADM (admin@admin.com)</t>
        </is>
      </c>
      <c r="D12" s="7" t="inlineStr">
        <is>
          <t>Plusieurs groupes de menu ouverts, fenêtre basse</t>
        </is>
      </c>
      <c r="E12" s="7" t="inlineStr">
        <is>
          <t>1. Ouvrir tous les groupes du menu</t>
        </is>
      </c>
      <c r="F12" s="7" t="inlineStr">
        <is>
          <t>Le bouton Déconnexion reste visible en bas, sans défiler.</t>
        </is>
      </c>
      <c r="G12" s="7" t="inlineStr">
        <is>
          <t>Mineur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DSH-09</t>
        </is>
      </c>
      <c r="B13" s="7" t="inlineStr">
        <is>
          <t>Sous-menu actif lisible</t>
        </is>
      </c>
      <c r="C13" s="7" t="inlineStr">
        <is>
          <t>ADM (admin@admin.com)</t>
        </is>
      </c>
      <c r="D13" s="7" t="inlineStr">
        <is>
          <t>—</t>
        </is>
      </c>
      <c r="E13" s="7" t="inlineStr">
        <is>
          <t>1. Ouvrir « Bons de stock »</t>
        </is>
      </c>
      <c r="F13" s="7" t="inlineStr">
        <is>
          <t>L'entrée du menu est surlignée en bleu avec un texte blanc lisible.</t>
        </is>
      </c>
      <c r="G13" s="7" t="inlineStr">
        <is>
          <t>Mineur</t>
        </is>
      </c>
      <c r="H13" s="7" t="inlineStr">
        <is>
          <t>OK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DSH-10</t>
        </is>
      </c>
      <c r="B14" s="7" t="inlineStr">
        <is>
          <t>Menus déroulants</t>
        </is>
      </c>
      <c r="C14" s="7" t="inlineStr">
        <is>
          <t>ADM (admin@admin.com)</t>
        </is>
      </c>
      <c r="D14" s="7" t="inlineStr">
        <is>
          <t>—</t>
        </is>
      </c>
      <c r="E14" s="7" t="inlineStr">
        <is>
          <t>1. Cliquer chaque groupe du menu
2. Cliquer le menu du compte et la cloche</t>
        </is>
      </c>
      <c r="F14" s="7" t="inlineStr">
        <is>
          <t>Tout s'ouvre et se ferme ; les liens fonctionnent.</t>
        </is>
      </c>
      <c r="G14" s="7" t="inlineStr">
        <is>
          <t>Critique</t>
        </is>
      </c>
      <c r="H14" s="7" t="inlineStr">
        <is>
          <t>OK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DSH-11</t>
        </is>
      </c>
      <c r="B15" s="7" t="inlineStr">
        <is>
          <t>Affichage sur téléphone</t>
        </is>
      </c>
      <c r="C15" s="7" t="inlineStr">
        <is>
          <t>ADM (admin@admin.com)</t>
        </is>
      </c>
      <c r="D15" s="7" t="inlineStr">
        <is>
          <t>Téléphone ou fenêtre étroite (≈ 390 px)</t>
        </is>
      </c>
      <c r="E15" s="7" t="inlineStr">
        <is>
          <t>1. Ouvrir le tableau de bord, une liste, un formulaire</t>
        </is>
      </c>
      <c r="F15" s="7" t="inlineStr">
        <is>
          <t>Pas de défilement horizontal de la page ; les tuiles passent sur deux colonnes ; le menu s'ouvre par le bouton en haut.</t>
        </is>
      </c>
      <c r="G15" s="7" t="inlineStr">
        <is>
          <t>Majeur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DSH-12</t>
        </is>
      </c>
      <c r="B16" s="7" t="inlineStr">
        <is>
          <t>Libellés français des tableaux</t>
        </is>
      </c>
      <c r="C16" s="7" t="inlineStr">
        <is>
          <t>ADM (admin@admin.com)</t>
        </is>
      </c>
      <c r="D16" s="7" t="inlineStr">
        <is>
          <t>Accès Internet</t>
        </is>
      </c>
      <c r="E16" s="7" t="inlineStr">
        <is>
          <t>1. Ouvrir une liste</t>
        </is>
      </c>
      <c r="F16" s="7" t="inlineStr">
        <is>
          <t>« Afficher … entrées », « Rechercher », pagination en français.</t>
        </is>
      </c>
      <c r="G16" s="7" t="inlineStr">
        <is>
          <t>Mineur</t>
        </is>
      </c>
      <c r="H16" s="7" t="inlineStr">
        <is>
          <t>OK</t>
        </is>
      </c>
      <c r="I16" s="7" t="inlineStr">
        <is>
          <t>Non testé</t>
        </is>
      </c>
      <c r="J16" s="7" t="n"/>
      <c r="K16" s="7" t="n"/>
      <c r="L16" s="7" t="n"/>
    </row>
    <row r="17">
      <c r="A17" s="7" t="inlineStr">
        <is>
          <t>DSH-13</t>
        </is>
      </c>
      <c r="B17" s="7" t="inlineStr">
        <is>
          <t>Message de confirmation</t>
        </is>
      </c>
      <c r="C17" s="7" t="inlineStr">
        <is>
          <t>MAT (matieres@sygep.test)</t>
        </is>
      </c>
      <c r="D17" s="7" t="inlineStr">
        <is>
          <t>—</t>
        </is>
      </c>
      <c r="E17" s="7" t="inlineStr">
        <is>
          <t>1. Enregistrer un bon de stock (ou une affectation, un mouvement de stock, une clôture d'inventaire)</t>
        </is>
      </c>
      <c r="F17" s="7" t="inlineStr">
        <is>
          <t>Un bandeau vert confirme l'opération (ex. « Bon de sortie BS-… enregistré »). Les simples créations de référentiels (catégorie, service…) reviennent à la liste sans bandeau.</t>
        </is>
      </c>
      <c r="G17" s="7" t="inlineStr">
        <is>
          <t>Mineur</t>
        </is>
      </c>
      <c r="H17" s="7" t="inlineStr">
        <is>
          <t>OK</t>
        </is>
      </c>
      <c r="I17" s="7" t="inlineStr">
        <is>
          <t>Non testé</t>
        </is>
      </c>
      <c r="J17" s="7" t="n"/>
      <c r="K17" s="7" t="n"/>
      <c r="L17" s="7" t="n"/>
    </row>
  </sheetData>
  <autoFilter ref="A4:L17"/>
  <conditionalFormatting sqref="I5:I17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7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PUB – Site public et page Contact</t>
        </is>
      </c>
    </row>
    <row r="2">
      <c r="A2" t="inlineStr">
        <is>
          <t>Vérifier ce que voient les visiteurs non connectés.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PUB-01</t>
        </is>
      </c>
      <c r="B5" s="7" t="inlineStr">
        <is>
          <t>Page d'accueil</t>
        </is>
      </c>
      <c r="C5" s="7" t="inlineStr">
        <is>
          <t>—</t>
        </is>
      </c>
      <c r="D5" s="7" t="inlineStr">
        <is>
          <t>Déconnecté</t>
        </is>
      </c>
      <c r="E5" s="7" t="inlineStr">
        <is>
          <t>1. Ouvrir /</t>
        </is>
      </c>
      <c r="F5" s="7" t="inlineStr">
        <is>
          <t>La page de présentation de SYGEP s'affiche, avec un accès à la connexion.</t>
        </is>
      </c>
      <c r="G5" s="7" t="inlineStr">
        <is>
          <t>Majeur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PUB-02</t>
        </is>
      </c>
      <c r="B6" s="7" t="inlineStr">
        <is>
          <t>Accueil pour un connecté</t>
        </is>
      </c>
      <c r="C6" s="7" t="inlineStr">
        <is>
          <t>ADM (admin@admin.com)</t>
        </is>
      </c>
      <c r="D6" s="7" t="inlineStr">
        <is>
          <t>Connecté</t>
        </is>
      </c>
      <c r="E6" s="7" t="inlineStr">
        <is>
          <t>1. Ouvrir /</t>
        </is>
      </c>
      <c r="F6" s="7" t="inlineStr">
        <is>
          <t>Redirection vers le tableau de bord.</t>
        </is>
      </c>
      <c r="G6" s="7" t="inlineStr">
        <is>
          <t>Mineur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PUB-03</t>
        </is>
      </c>
      <c r="B7" s="7" t="inlineStr">
        <is>
          <t>Envoyer un message</t>
        </is>
      </c>
      <c r="C7" s="7" t="inlineStr">
        <is>
          <t>—</t>
        </is>
      </c>
      <c r="D7" s="7" t="inlineStr">
        <is>
          <t>Déconnecté</t>
        </is>
      </c>
      <c r="E7" s="7" t="inlineStr">
        <is>
          <t>1. Ouvrir /contact
2. Remplir nom, e-mail, objet, message
3. Envoyer</t>
        </is>
      </c>
      <c r="F7" s="7" t="inlineStr">
        <is>
          <t>Message de remerciement. Les comptes ayant le droit de lire les messages reçoivent une notification et voient le bandeau « nouveau message de contact à lire ».</t>
        </is>
      </c>
      <c r="G7" s="7" t="inlineStr">
        <is>
          <t>Critique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PUB-04</t>
        </is>
      </c>
      <c r="B8" s="7" t="inlineStr">
        <is>
          <t>Champs obligatoires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1. Envoyer le formulaire vide</t>
        </is>
      </c>
      <c r="F8" s="7" t="inlineStr">
        <is>
          <t>Refus avec messages.</t>
        </is>
      </c>
      <c r="G8" s="7" t="inlineStr">
        <is>
          <t>Majeur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PUB-05</t>
        </is>
      </c>
      <c r="B9" s="7" t="inlineStr">
        <is>
          <t>Limitation d'envoi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1. Envoyer six messages en une minute</t>
        </is>
      </c>
      <c r="F9" s="7" t="inlineStr">
        <is>
          <t>Le sixième est refusé (limite de 5 par minute).</t>
        </is>
      </c>
      <c r="G9" s="7" t="inlineStr">
        <is>
          <t>Mineur</t>
        </is>
      </c>
      <c r="H9" s="7" t="inlineStr">
        <is>
          <t>Manuel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PUB-06</t>
        </is>
      </c>
      <c r="B10" s="7" t="inlineStr">
        <is>
          <t>Coordonnées</t>
        </is>
      </c>
      <c r="C10" s="7" t="inlineStr">
        <is>
          <t>—</t>
        </is>
      </c>
      <c r="D10" s="7" t="inlineStr">
        <is>
          <t>.env renseigné</t>
        </is>
      </c>
      <c r="E10" s="7" t="inlineStr">
        <is>
          <t>1. Ouvrir /contact</t>
        </is>
      </c>
      <c r="F10" s="7" t="inlineStr">
        <is>
          <t>Adresse, téléphone, e-mail et horaires correspondent aux valeurs de CONTACT_* dans .env.</t>
        </is>
      </c>
      <c r="G10" s="7" t="inlineStr">
        <is>
          <t>Mineur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PUB-07</t>
        </is>
      </c>
      <c r="B11" s="7" t="inlineStr">
        <is>
          <t>Lire un message reçu</t>
        </is>
      </c>
      <c r="C11" s="7" t="inlineStr">
        <is>
          <t>ADM (admin@admin.com)</t>
        </is>
      </c>
      <c r="D11" s="7" t="inlineStr">
        <is>
          <t>Un message reçu</t>
        </is>
      </c>
      <c r="E11" s="7" t="inlineStr">
        <is>
          <t>1. Ouvrir la notification ou la liste des messages de contact</t>
        </is>
      </c>
      <c r="F11" s="7" t="inlineStr">
        <is>
          <t>Le message est lisible ; il est marqué lu.</t>
        </is>
      </c>
      <c r="G11" s="7" t="inlineStr">
        <is>
          <t>Majeur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</sheetData>
  <autoFilter ref="A4:L11"/>
  <conditionalFormatting sqref="I5:I11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1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SEC – Droits et isolation des données</t>
        </is>
      </c>
    </row>
    <row r="2">
      <c r="A2" t="inlineStr">
        <is>
          <t>Vérifier que personne ne voit ni ne fait plus que ce qui lui est permis.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SEC-01</t>
        </is>
      </c>
      <c r="B5" s="7" t="inlineStr">
        <is>
          <t>Isolation du comptable secondaire</t>
        </is>
      </c>
      <c r="C5" s="7" t="inlineStr">
        <is>
          <t>SEC (secondaire@sygep.test)</t>
        </is>
      </c>
      <c r="D5" s="7" t="inlineStr">
        <is>
          <t>Données de plusieurs services (jeu de démonstration)</t>
        </is>
      </c>
      <c r="E5" s="7" t="inlineStr">
        <is>
          <t>1. Se connecter en SEC
2. Ouvrir Matières, Agents, Affectations, Mouvements de stock, Inventaires</t>
        </is>
      </c>
      <c r="F5" s="7" t="inlineStr">
        <is>
          <t>Il ne voit que les données du service « CFP de Thiès ».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SEC-02</t>
        </is>
      </c>
      <c r="B6" s="7" t="inlineStr">
        <is>
          <t>Création hors de son service</t>
        </is>
      </c>
      <c r="C6" s="7" t="inlineStr">
        <is>
          <t>SEC (secondaire@sygep.test)</t>
        </is>
      </c>
      <c r="D6" s="7" t="inlineStr">
        <is>
          <t>—</t>
        </is>
      </c>
      <c r="E6" s="7" t="inlineStr">
        <is>
          <t>1. Tenter de créer une affectation ou une sortie de stock pour un autre service</t>
        </is>
      </c>
      <c r="F6" s="7" t="inlineStr">
        <is>
          <t>Impossible : choix absent, refusé, ou erreur « Cette opération concerne un autre service que le vôtre ».</t>
        </is>
      </c>
      <c r="G6" s="7" t="inlineStr">
        <is>
          <t>Critique</t>
        </is>
      </c>
      <c r="H6" s="7" t="inlineStr">
        <is>
          <t>OK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SEC-03</t>
        </is>
      </c>
      <c r="B7" s="7" t="inlineStr">
        <is>
          <t>Agent : matériel de son service</t>
        </is>
      </c>
      <c r="C7" s="7" t="inlineStr">
        <is>
          <t>AGT (agent@sygep.test)</t>
        </is>
      </c>
      <c r="D7" s="7" t="inlineStr">
        <is>
          <t>—</t>
        </is>
      </c>
      <c r="E7" s="7" t="inlineStr">
        <is>
          <t>1. Ouvrir Matières</t>
        </is>
      </c>
      <c r="F7" s="7" t="inlineStr">
        <is>
          <t>Seules les matières de son service sont visibles, en lecture seule.</t>
        </is>
      </c>
      <c r="G7" s="7" t="inlineStr">
        <is>
          <t>Critique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SEC-04</t>
        </is>
      </c>
      <c r="B8" s="7" t="inlineStr">
        <is>
          <t>Droits non cumulés par erreur</t>
        </is>
      </c>
      <c r="C8" s="7" t="inlineStr">
        <is>
          <t>AGT (agent@sygep.test)</t>
        </is>
      </c>
      <c r="D8" s="7" t="inlineStr">
        <is>
          <t>—</t>
        </is>
      </c>
      <c r="E8" s="7" t="inlineStr">
        <is>
          <t>1. Chercher dans le menu Stock, Infrastructures, Rapports, Rôles</t>
        </is>
      </c>
      <c r="F8" s="7" t="inlineStr">
        <is>
          <t>Aucun de ces modules n'est visible.</t>
        </is>
      </c>
      <c r="G8" s="7" t="inlineStr">
        <is>
          <t>Critique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SEC-05</t>
        </is>
      </c>
      <c r="B9" s="7" t="inlineStr">
        <is>
          <t>403 sur adresse directe</t>
        </is>
      </c>
      <c r="C9" s="7" t="inlineStr">
        <is>
          <t>AGT (agent@sygep.test)</t>
        </is>
      </c>
      <c r="D9" s="7" t="inlineStr">
        <is>
          <t>—</t>
        </is>
      </c>
      <c r="E9" s="7" t="inlineStr">
        <is>
          <t>1. Saisir /admin/stock-items, /admin/projects, /admin/roles</t>
        </is>
      </c>
      <c r="F9" s="7" t="inlineStr">
        <is>
          <t>Erreur 403 à chaque fois.</t>
        </is>
      </c>
      <c r="G9" s="7" t="inlineStr">
        <is>
          <t>Critique</t>
        </is>
      </c>
      <c r="H9" s="7" t="inlineStr">
        <is>
          <t>OK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SEC-06</t>
        </is>
      </c>
      <c r="B10" s="7" t="inlineStr">
        <is>
          <t>Directeur : aucune modification</t>
        </is>
      </c>
      <c r="C10" s="7" t="inlineStr">
        <is>
          <t>DIR (directeur@sygep.test)</t>
        </is>
      </c>
      <c r="D10" s="7" t="inlineStr">
        <is>
          <t>—</t>
        </is>
      </c>
      <c r="E10" s="7" t="inlineStr">
        <is>
          <t>1. Tenter d'ouvrir /admin/assets/create</t>
        </is>
      </c>
      <c r="F10" s="7" t="inlineStr">
        <is>
          <t>Erreur 403.</t>
        </is>
      </c>
      <c r="G10" s="7" t="inlineStr">
        <is>
          <t>Critique</t>
        </is>
      </c>
      <c r="H10" s="7" t="inlineStr">
        <is>
          <t>OK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SEC-07</t>
        </is>
      </c>
      <c r="B11" s="7" t="inlineStr">
        <is>
          <t>Ajustement de stock réservé</t>
        </is>
      </c>
      <c r="C11" s="7" t="inlineStr">
        <is>
          <t>MAT (matieres@sygep.test)</t>
        </is>
      </c>
      <c r="D11" s="7" t="inlineStr">
        <is>
          <t>—</t>
        </is>
      </c>
      <c r="E11" s="7" t="inlineStr">
        <is>
          <t>1. Tenter l'ajustement en forçant le type dans l'adresse (…/stock-movements/create?type=ajustement)</t>
        </is>
      </c>
      <c r="F11" s="7" t="inlineStr">
        <is>
          <t>Le formulaire ne propose pas l'ajustement ; l'envoi est refusé.</t>
        </is>
      </c>
      <c r="G11" s="7" t="inlineStr">
        <is>
          <t>Critique</t>
        </is>
      </c>
      <c r="H11" s="7" t="inlineStr">
        <is>
          <t>OK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SEC-08</t>
        </is>
      </c>
      <c r="B12" s="7" t="inlineStr">
        <is>
          <t>Clôture d'inventaire réservée</t>
        </is>
      </c>
      <c r="C12" s="7" t="inlineStr">
        <is>
          <t>MAT (matieres@sygep.test)</t>
        </is>
      </c>
      <c r="D12" s="7" t="inlineStr">
        <is>
          <t>—</t>
        </is>
      </c>
      <c r="E12" s="7" t="inlineStr">
        <is>
          <t>1. Tenter de clôturer une campagne</t>
        </is>
      </c>
      <c r="F12" s="7" t="inlineStr">
        <is>
          <t>Bouton absent ; action interdite (403).</t>
        </is>
      </c>
      <c r="G12" s="7" t="inlineStr">
        <is>
          <t>Critique</t>
        </is>
      </c>
      <c r="H12" s="7" t="inlineStr">
        <is>
          <t>OK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SEC-09</t>
        </is>
      </c>
      <c r="B13" s="7" t="inlineStr">
        <is>
          <t>Mot de passe non lisible</t>
        </is>
      </c>
      <c r="C13" s="7" t="inlineStr">
        <is>
          <t>—</t>
        </is>
      </c>
      <c r="D13" s="7" t="inlineStr">
        <is>
          <t>Accès à la base</t>
        </is>
      </c>
      <c r="E13" s="7" t="inlineStr">
        <is>
          <t>1. Consulter la colonne password de la table users</t>
        </is>
      </c>
      <c r="F13" s="7" t="inlineStr">
        <is>
          <t>Les mots de passe sont chiffrés (empreinte commençant par $2y$), jamais en clair.</t>
        </is>
      </c>
      <c r="G13" s="7" t="inlineStr">
        <is>
          <t>Critique</t>
        </is>
      </c>
      <c r="H13" s="7" t="inlineStr">
        <is>
          <t>Manuel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SEC-10</t>
        </is>
      </c>
      <c r="B14" s="7" t="inlineStr">
        <is>
          <t>Compte supprimé ou désapprouvé</t>
        </is>
      </c>
      <c r="C14" s="7" t="inlineStr">
        <is>
          <t>ADM (admin@admin.com)</t>
        </is>
      </c>
      <c r="D14" s="7" t="inlineStr">
        <is>
          <t>Un utilisateur connecté dans un autre navigateur</t>
        </is>
      </c>
      <c r="E14" s="7" t="inlineStr">
        <is>
          <t>1. Décocher « Approuvé » sur ce compte
2. Actualiser une page dans l'autre navigateur</t>
        </is>
      </c>
      <c r="F14" s="7" t="inlineStr">
        <is>
          <t>L'utilisateur est déconnecté et ne peut plus se connecter.</t>
        </is>
      </c>
      <c r="G14" s="7" t="inlineStr">
        <is>
          <t>Majeur</t>
        </is>
      </c>
      <c r="H14" s="7" t="inlineStr">
        <is>
          <t>OK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SEC-12</t>
        </is>
      </c>
      <c r="B15" s="7" t="inlineStr">
        <is>
          <t>Adresse directe d'une matière d'un autre service</t>
        </is>
      </c>
      <c r="C15" s="7" t="inlineStr">
        <is>
          <t>SEC (secondaire@sygep.test)</t>
        </is>
      </c>
      <c r="D15" s="7" t="inlineStr">
        <is>
          <t>Connaître l'identifiant d'une matière d'un autre service (ex. /admin/assets/1)</t>
        </is>
      </c>
      <c r="E15" s="7" t="inlineStr">
        <is>
          <t>1. Saisir directement l'adresse /admin/assets/1 (matière d'un autre service)</t>
        </is>
      </c>
      <c r="F15" s="7" t="inlineStr">
        <is>
          <t>Erreur 404 : la matière n'est pas accessible. Même contrôle pour les affectations, mouvements et bons de stock d'un autre service.</t>
        </is>
      </c>
      <c r="G15" s="7" t="inlineStr">
        <is>
          <t>Critique</t>
        </is>
      </c>
      <c r="H15" s="7" t="inlineStr">
        <is>
          <t>OK</t>
        </is>
      </c>
      <c r="I15" s="7" t="inlineStr">
        <is>
          <t>Non testé</t>
        </is>
      </c>
      <c r="J15" s="7" t="n"/>
      <c r="K15" s="7" t="n"/>
      <c r="L15" s="7" t="n"/>
    </row>
    <row r="16">
      <c r="A16" s="7" t="inlineStr">
        <is>
          <t>SEC-11</t>
        </is>
      </c>
      <c r="B16" s="7" t="inlineStr">
        <is>
          <t>Mode débogage éteint</t>
        </is>
      </c>
      <c r="C16" s="7" t="inlineStr">
        <is>
          <t>—</t>
        </is>
      </c>
      <c r="D16" s="7" t="inlineStr">
        <is>
          <t>Serveur de production</t>
        </is>
      </c>
      <c r="E16" s="7" t="inlineStr">
        <is>
          <t>1. Provoquer une erreur (adresse inexistante, puis erreur serveur simulée)</t>
        </is>
      </c>
      <c r="F16" s="7" t="inlineStr">
        <is>
          <t>Aucune trace technique (chemins, requêtes SQL) n'est affichée à l'utilisateur.</t>
        </is>
      </c>
      <c r="G16" s="7" t="inlineStr">
        <is>
          <t>Critique</t>
        </is>
      </c>
      <c r="H16" s="7" t="inlineStr">
        <is>
          <t>Manuel</t>
        </is>
      </c>
      <c r="I16" s="7" t="inlineStr">
        <is>
          <t>Non testé</t>
        </is>
      </c>
      <c r="J16" s="7" t="n"/>
      <c r="K16" s="7" t="n"/>
      <c r="L16" s="7" t="n"/>
    </row>
  </sheetData>
  <autoFilter ref="A4:L16"/>
  <conditionalFormatting sqref="I5:I16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6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30" customWidth="1" min="4" max="4"/>
    <col width="52" customWidth="1" min="5" max="5"/>
    <col width="44" customWidth="1" min="6" max="6"/>
    <col width="10" customWidth="1" min="7" max="7"/>
    <col width="28" customWidth="1" min="8" max="8"/>
    <col width="12" customWidth="1" min="9" max="9"/>
    <col width="11" customWidth="1" min="10" max="10"/>
    <col width="14" customWidth="1" min="11" max="11"/>
    <col width="32" customWidth="1" min="12" max="12"/>
  </cols>
  <sheetData>
    <row r="1">
      <c r="A1" s="5" t="inlineStr">
        <is>
          <t>INS – Installation et exploitation</t>
        </is>
      </c>
    </row>
    <row r="2">
      <c r="A2" t="inlineStr">
        <is>
          <t>Vérifier le déploiement, la sauvegarde et la reprise.</t>
        </is>
      </c>
    </row>
    <row r="4">
      <c r="A4" s="6" t="inlineStr">
        <is>
          <t>ID</t>
        </is>
      </c>
      <c r="B4" s="6" t="inlineStr">
        <is>
          <t>Test</t>
        </is>
      </c>
      <c r="C4" s="6" t="inlineStr">
        <is>
          <t>Compte</t>
        </is>
      </c>
      <c r="D4" s="6" t="inlineStr">
        <is>
          <t>Préconditions</t>
        </is>
      </c>
      <c r="E4" s="6" t="inlineStr">
        <is>
          <t>Étapes</t>
        </is>
      </c>
      <c r="F4" s="6" t="inlineStr">
        <is>
          <t>Résultat attendu</t>
        </is>
      </c>
      <c r="G4" s="6" t="inlineStr">
        <is>
          <t>Priorité</t>
        </is>
      </c>
      <c r="H4" s="6" t="inlineStr">
        <is>
          <t>Pré-recette auto</t>
        </is>
      </c>
      <c r="I4" s="6" t="inlineStr">
        <is>
          <t>Résultat</t>
        </is>
      </c>
      <c r="J4" s="6" t="inlineStr">
        <is>
          <t>Date</t>
        </is>
      </c>
      <c r="K4" s="6" t="inlineStr">
        <is>
          <t>Testeur</t>
        </is>
      </c>
      <c r="L4" s="6" t="inlineStr">
        <is>
          <t>Observations</t>
        </is>
      </c>
    </row>
    <row r="5">
      <c r="A5" s="7" t="inlineStr">
        <is>
          <t>INS-01</t>
        </is>
      </c>
      <c r="B5" s="7" t="inlineStr">
        <is>
          <t>Installation sur base vide</t>
        </is>
      </c>
      <c r="C5" s="7" t="inlineStr">
        <is>
          <t>—</t>
        </is>
      </c>
      <c r="D5" s="7" t="inlineStr">
        <is>
          <t>Base vide, .env configuré</t>
        </is>
      </c>
      <c r="E5" s="7" t="inlineStr">
        <is>
          <t>1. php artisan migrate --seed</t>
        </is>
      </c>
      <c r="F5" s="7" t="inlineStr">
        <is>
          <t>Aucune erreur. La base contient 149 droits, 9 rôles métier + le rôle User, les statuts de matières et de tâches, et le compte admin.</t>
        </is>
      </c>
      <c r="G5" s="7" t="inlineStr">
        <is>
          <t>Critique</t>
        </is>
      </c>
      <c r="H5" s="7" t="inlineStr">
        <is>
          <t>OK</t>
        </is>
      </c>
      <c r="I5" s="7" t="inlineStr">
        <is>
          <t>Non testé</t>
        </is>
      </c>
      <c r="J5" s="7" t="n"/>
      <c r="K5" s="7" t="n"/>
      <c r="L5" s="7" t="n"/>
    </row>
    <row r="6">
      <c r="A6" s="7" t="inlineStr">
        <is>
          <t>INS-02</t>
        </is>
      </c>
      <c r="B6" s="7" t="inlineStr">
        <is>
          <t>Seeders relançables</t>
        </is>
      </c>
      <c r="C6" s="7" t="inlineStr">
        <is>
          <t>—</t>
        </is>
      </c>
      <c r="D6" s="7" t="inlineStr">
        <is>
          <t>Installation faite</t>
        </is>
      </c>
      <c r="E6" s="7" t="inlineStr">
        <is>
          <t>1. php artisan db:seed</t>
        </is>
      </c>
      <c r="F6" s="7" t="inlineStr">
        <is>
          <t>Aucune erreur ni doublon.</t>
        </is>
      </c>
      <c r="G6" s="7" t="inlineStr">
        <is>
          <t>Majeur</t>
        </is>
      </c>
      <c r="H6" s="7" t="inlineStr">
        <is>
          <t>Manuel</t>
        </is>
      </c>
      <c r="I6" s="7" t="inlineStr">
        <is>
          <t>Non testé</t>
        </is>
      </c>
      <c r="J6" s="7" t="n"/>
      <c r="K6" s="7" t="n"/>
      <c r="L6" s="7" t="n"/>
    </row>
    <row r="7">
      <c r="A7" s="7" t="inlineStr">
        <is>
          <t>INS-03</t>
        </is>
      </c>
      <c r="B7" s="7" t="inlineStr">
        <is>
          <t>Rôles du compte admin</t>
        </is>
      </c>
      <c r="C7" s="7" t="inlineStr">
        <is>
          <t>ADM (admin@admin.com)</t>
        </is>
      </c>
      <c r="D7" s="7" t="inlineStr">
        <is>
          <t>Installation neuve</t>
        </is>
      </c>
      <c r="E7" s="7" t="inlineStr">
        <is>
          <t>1. Utilisateurs &gt; admin@admin.com</t>
        </is>
      </c>
      <c r="F7" s="7" t="inlineStr">
        <is>
          <t>Le compte n'a que le rôle « Super administrateur ».</t>
        </is>
      </c>
      <c r="G7" s="7" t="inlineStr">
        <is>
          <t>Critique</t>
        </is>
      </c>
      <c r="H7" s="7" t="inlineStr">
        <is>
          <t>OK</t>
        </is>
      </c>
      <c r="I7" s="7" t="inlineStr">
        <is>
          <t>Non testé</t>
        </is>
      </c>
      <c r="J7" s="7" t="n"/>
      <c r="K7" s="7" t="n"/>
      <c r="L7" s="7" t="n"/>
    </row>
    <row r="8">
      <c r="A8" s="7" t="inlineStr">
        <is>
          <t>INS-04</t>
        </is>
      </c>
      <c r="B8" s="7" t="inlineStr">
        <is>
          <t>Rôle de l'inscription libre</t>
        </is>
      </c>
      <c r="C8" s="7" t="inlineStr">
        <is>
          <t>—</t>
        </is>
      </c>
      <c r="D8" s="7" t="inlineStr">
        <is>
          <t>Installation neuve</t>
        </is>
      </c>
      <c r="E8" s="7" t="inlineStr">
        <is>
          <t>1. Créer un compte via /register
2. Observer ses rôles</t>
        </is>
      </c>
      <c r="F8" s="7" t="inlineStr">
        <is>
          <t>Rôle « User » uniquement, droits très limités, compte non approuvé.</t>
        </is>
      </c>
      <c r="G8" s="7" t="inlineStr">
        <is>
          <t>Critique</t>
        </is>
      </c>
      <c r="H8" s="7" t="inlineStr">
        <is>
          <t>OK</t>
        </is>
      </c>
      <c r="I8" s="7" t="inlineStr">
        <is>
          <t>Non testé</t>
        </is>
      </c>
      <c r="J8" s="7" t="n"/>
      <c r="K8" s="7" t="n"/>
      <c r="L8" s="7" t="n"/>
    </row>
    <row r="9">
      <c r="A9" s="7" t="inlineStr">
        <is>
          <t>INS-05</t>
        </is>
      </c>
      <c r="B9" s="7" t="inlineStr">
        <is>
          <t>Jeu de démonstration</t>
        </is>
      </c>
      <c r="C9" s="7" t="inlineStr">
        <is>
          <t>—</t>
        </is>
      </c>
      <c r="D9" s="7" t="inlineStr">
        <is>
          <t>Base de TEST</t>
        </is>
      </c>
      <c r="E9" s="7" t="inlineStr">
        <is>
          <t>1. php artisan db:seed --class=DemoDataSeeder
2. Le relancer</t>
        </is>
      </c>
      <c r="F9" s="7" t="inlineStr">
        <is>
          <t>Les données sont créées ; la seconde exécution indique que les données existent déjà et ne fait rien.</t>
        </is>
      </c>
      <c r="G9" s="7" t="inlineStr">
        <is>
          <t>Majeur</t>
        </is>
      </c>
      <c r="H9" s="7" t="inlineStr">
        <is>
          <t>Manuel</t>
        </is>
      </c>
      <c r="I9" s="7" t="inlineStr">
        <is>
          <t>Non testé</t>
        </is>
      </c>
      <c r="J9" s="7" t="n"/>
      <c r="K9" s="7" t="n"/>
      <c r="L9" s="7" t="n"/>
    </row>
    <row r="10">
      <c r="A10" s="7" t="inlineStr">
        <is>
          <t>INS-06</t>
        </is>
      </c>
      <c r="B10" s="7" t="inlineStr">
        <is>
          <t>Fichiers déposés</t>
        </is>
      </c>
      <c r="C10" s="7" t="inlineStr">
        <is>
          <t>ADM (admin@admin.com)</t>
        </is>
      </c>
      <c r="D10" s="7" t="inlineStr">
        <is>
          <t>storage:link exécuté</t>
        </is>
      </c>
      <c r="E10" s="7" t="inlineStr">
        <is>
          <t>1. Ajouter une photo à une matière
2. Ouvrir la fiche</t>
        </is>
      </c>
      <c r="F10" s="7" t="inlineStr">
        <is>
          <t>La photo s'affiche (le lien public vers storage fonctionne).</t>
        </is>
      </c>
      <c r="G10" s="7" t="inlineStr">
        <is>
          <t>Majeur</t>
        </is>
      </c>
      <c r="H10" s="7" t="inlineStr">
        <is>
          <t>Manuel</t>
        </is>
      </c>
      <c r="I10" s="7" t="inlineStr">
        <is>
          <t>Non testé</t>
        </is>
      </c>
      <c r="J10" s="7" t="n"/>
      <c r="K10" s="7" t="n"/>
      <c r="L10" s="7" t="n"/>
    </row>
    <row r="11">
      <c r="A11" s="7" t="inlineStr">
        <is>
          <t>INS-07</t>
        </is>
      </c>
      <c r="B11" s="7" t="inlineStr">
        <is>
          <t>Sauvegarde et restauration</t>
        </is>
      </c>
      <c r="C11" s="7" t="inlineStr">
        <is>
          <t>—</t>
        </is>
      </c>
      <c r="D11" s="7" t="inlineStr">
        <is>
          <t>Accès au serveur</t>
        </is>
      </c>
      <c r="E11" s="7" t="inlineStr">
        <is>
          <t>1. Faire un mysqldump
2. Restaurer dans une base vide
3. Pointer un .env de test dessus
4. Se connecter</t>
        </is>
      </c>
      <c r="F11" s="7" t="inlineStr">
        <is>
          <t>L'application fonctionne avec les données restaurées.</t>
        </is>
      </c>
      <c r="G11" s="7" t="inlineStr">
        <is>
          <t>Critique</t>
        </is>
      </c>
      <c r="H11" s="7" t="inlineStr">
        <is>
          <t>Manuel</t>
        </is>
      </c>
      <c r="I11" s="7" t="inlineStr">
        <is>
          <t>Non testé</t>
        </is>
      </c>
      <c r="J11" s="7" t="n"/>
      <c r="K11" s="7" t="n"/>
      <c r="L11" s="7" t="n"/>
    </row>
    <row r="12">
      <c r="A12" s="7" t="inlineStr">
        <is>
          <t>INS-08</t>
        </is>
      </c>
      <c r="B12" s="7" t="inlineStr">
        <is>
          <t>Mise à jour</t>
        </is>
      </c>
      <c r="C12" s="7" t="inlineStr">
        <is>
          <t>—</t>
        </is>
      </c>
      <c r="D12" s="7" t="inlineStr">
        <is>
          <t>Sauvegarde faite</t>
        </is>
      </c>
      <c r="E12" s="7" t="inlineStr">
        <is>
          <t>1. git pull
2. composer install --no-dev
3. php artisan migrate --force
4. php artisan view:clear</t>
        </is>
      </c>
      <c r="F12" s="7" t="inlineStr">
        <is>
          <t>Aucune erreur ; l'application fonctionne ; les données sont intactes.</t>
        </is>
      </c>
      <c r="G12" s="7" t="inlineStr">
        <is>
          <t>Critique</t>
        </is>
      </c>
      <c r="H12" s="7" t="inlineStr">
        <is>
          <t>Manuel</t>
        </is>
      </c>
      <c r="I12" s="7" t="inlineStr">
        <is>
          <t>Non testé</t>
        </is>
      </c>
      <c r="J12" s="7" t="n"/>
      <c r="K12" s="7" t="n"/>
      <c r="L12" s="7" t="n"/>
    </row>
    <row r="13">
      <c r="A13" s="7" t="inlineStr">
        <is>
          <t>INS-09</t>
        </is>
      </c>
      <c r="B13" s="7" t="inlineStr">
        <is>
          <t>HTTPS</t>
        </is>
      </c>
      <c r="C13" s="7" t="inlineStr">
        <is>
          <t>—</t>
        </is>
      </c>
      <c r="D13" s="7" t="inlineStr">
        <is>
          <t>Serveur de production</t>
        </is>
      </c>
      <c r="E13" s="7" t="inlineStr">
        <is>
          <t>1. Ouvrir le site en https:// et tenter d'ouvrir http://</t>
        </is>
      </c>
      <c r="F13" s="7" t="inlineStr">
        <is>
          <t>Le site est servi en HTTPS ; la caméra du scanner fonctionne sur téléphone.</t>
        </is>
      </c>
      <c r="G13" s="7" t="inlineStr">
        <is>
          <t>Critique</t>
        </is>
      </c>
      <c r="H13" s="7" t="inlineStr">
        <is>
          <t>Manuel</t>
        </is>
      </c>
      <c r="I13" s="7" t="inlineStr">
        <is>
          <t>Non testé</t>
        </is>
      </c>
      <c r="J13" s="7" t="n"/>
      <c r="K13" s="7" t="n"/>
      <c r="L13" s="7" t="n"/>
    </row>
    <row r="14">
      <c r="A14" s="7" t="inlineStr">
        <is>
          <t>INS-10</t>
        </is>
      </c>
      <c r="B14" s="7" t="inlineStr">
        <is>
          <t>Permissions des dossiers</t>
        </is>
      </c>
      <c r="C14" s="7" t="inlineStr">
        <is>
          <t>—</t>
        </is>
      </c>
      <c r="D14" s="7" t="inlineStr">
        <is>
          <t>Serveur</t>
        </is>
      </c>
      <c r="E14" s="7" t="inlineStr">
        <is>
          <t>1. Vérifier que storage/ et bootstrap/cache/ sont modifiables par le serveur web</t>
        </is>
      </c>
      <c r="F14" s="7" t="inlineStr">
        <is>
          <t>Les journaux s'écrivent ; aucune erreur de permission.</t>
        </is>
      </c>
      <c r="G14" s="7" t="inlineStr">
        <is>
          <t>Majeur</t>
        </is>
      </c>
      <c r="H14" s="7" t="inlineStr">
        <is>
          <t>Manuel</t>
        </is>
      </c>
      <c r="I14" s="7" t="inlineStr">
        <is>
          <t>Non testé</t>
        </is>
      </c>
      <c r="J14" s="7" t="n"/>
      <c r="K14" s="7" t="n"/>
      <c r="L14" s="7" t="n"/>
    </row>
    <row r="15">
      <c r="A15" s="7" t="inlineStr">
        <is>
          <t>INS-11</t>
        </is>
      </c>
      <c r="B15" s="7" t="inlineStr">
        <is>
          <t>Configuration de production</t>
        </is>
      </c>
      <c r="C15" s="7" t="inlineStr">
        <is>
          <t>—</t>
        </is>
      </c>
      <c r="D15" s="7" t="inlineStr">
        <is>
          <t>Serveur</t>
        </is>
      </c>
      <c r="E15" s="7" t="inlineStr">
        <is>
          <t>1. Lire le fichier .env</t>
        </is>
      </c>
      <c r="F15" s="7" t="inlineStr">
        <is>
          <t>APP_ENV=production, APP_DEBUG=false, APP_URL définitif, accès base corrects, coordonnées de contact renseignées.</t>
        </is>
      </c>
      <c r="G15" s="7" t="inlineStr">
        <is>
          <t>Critique</t>
        </is>
      </c>
      <c r="H15" s="7" t="inlineStr">
        <is>
          <t>Manuel</t>
        </is>
      </c>
      <c r="I15" s="7" t="inlineStr">
        <is>
          <t>Non testé</t>
        </is>
      </c>
      <c r="J15" s="7" t="n"/>
      <c r="K15" s="7" t="n"/>
      <c r="L15" s="7" t="n"/>
    </row>
  </sheetData>
  <autoFilter ref="A4:L15"/>
  <conditionalFormatting sqref="I5:I15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1">
    <dataValidation sqref="I5:I15" showDropDown="0" showInputMessage="0" showErrorMessage="0" allowBlank="0" type="list">
      <formula1>"Non testé,OK,KO,Bloqué,N/A"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  <col width="12" customWidth="1" min="4" max="4"/>
    <col width="14" customWidth="1" min="5" max="5"/>
    <col width="22" customWidth="1" min="6" max="6"/>
    <col width="11" customWidth="1" min="7" max="7"/>
    <col width="40" customWidth="1" min="8" max="8"/>
  </cols>
  <sheetData>
    <row r="1">
      <c r="A1" s="3" t="inlineStr">
        <is>
          <t>N°</t>
        </is>
      </c>
      <c r="B1" s="3" t="inlineStr">
        <is>
          <t>Cas (ID)</t>
        </is>
      </c>
      <c r="C1" s="3" t="inlineStr">
        <is>
          <t>Description</t>
        </is>
      </c>
      <c r="D1" s="3" t="inlineStr">
        <is>
          <t>Gravité</t>
        </is>
      </c>
      <c r="E1" s="3" t="inlineStr">
        <is>
          <t>Statut</t>
        </is>
      </c>
      <c r="F1" s="3" t="inlineStr">
        <is>
          <t>Corrigée dans (commit)</t>
        </is>
      </c>
      <c r="G1" s="3" t="inlineStr">
        <is>
          <t>Date</t>
        </is>
      </c>
      <c r="H1" s="3" t="inlineStr">
        <is>
          <t>Commentaire</t>
        </is>
      </c>
    </row>
    <row r="2">
      <c r="A2" t="n">
        <v>1</v>
      </c>
      <c r="B2" t="inlineStr">
        <is>
          <t>USR-08</t>
        </is>
      </c>
      <c r="C2" t="inlineStr">
        <is>
          <t>statut 500 (500 attendu tant que PermissionCatalog.php n'est pas versionné)</t>
        </is>
      </c>
      <c r="D2" t="inlineStr">
        <is>
          <t>Majeur</t>
        </is>
      </c>
      <c r="E2" t="inlineStr">
        <is>
          <t>Ouverte</t>
        </is>
      </c>
    </row>
  </sheetData>
  <dataValidations count="2">
    <dataValidation sqref="E2:E200" showDropDown="0" showInputMessage="0" showErrorMessage="0" allowBlank="0" type="list">
      <formula1>"Ouverte,En cours,Corrigée,Fermée,Rejetée"</formula1>
    </dataValidation>
    <dataValidation sqref="D2:D200" showDropDown="0" showInputMessage="0" showErrorMessage="0" allowBlank="0" type="list">
      <formula1>"Bloquante,Majeur,Mineur"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2" t="inlineStr">
        <is>
          <t>Application</t>
        </is>
      </c>
      <c r="B1" t="inlineStr">
        <is>
          <t>SYGEP</t>
        </is>
      </c>
    </row>
    <row r="2">
      <c r="A2" s="2" t="inlineStr">
        <is>
          <t>Version / commit</t>
        </is>
      </c>
      <c r="B2" t="inlineStr"/>
    </row>
    <row r="3">
      <c r="A3" s="2" t="inlineStr">
        <is>
          <t>Date de recette</t>
        </is>
      </c>
      <c r="B3" t="inlineStr"/>
    </row>
    <row r="4">
      <c r="A4" s="2" t="inlineStr">
        <is>
          <t>Testeurs</t>
        </is>
      </c>
      <c r="B4" t="inlineStr"/>
    </row>
    <row r="5">
      <c r="A5" s="2" t="inlineStr">
        <is>
          <t>Cas exécutés</t>
        </is>
      </c>
      <c r="B5">
        <f>'Synthèse'!B22-Synthèse!G22</f>
        <v/>
      </c>
    </row>
    <row r="6">
      <c r="A6" s="2" t="inlineStr">
        <is>
          <t>Cas OK</t>
        </is>
      </c>
      <c r="B6">
        <f>'Synthèse'!C22</f>
        <v/>
      </c>
    </row>
    <row r="7">
      <c r="A7" s="2" t="inlineStr">
        <is>
          <t>Cas KO</t>
        </is>
      </c>
      <c r="B7">
        <f>'Synthèse'!D22</f>
        <v/>
      </c>
    </row>
    <row r="8">
      <c r="A8" s="2" t="inlineStr">
        <is>
          <t>Critiques non OK</t>
        </is>
      </c>
      <c r="B8">
        <f>'Synthèse'!I22</f>
        <v/>
      </c>
    </row>
    <row r="9">
      <c r="A9" s="2" t="inlineStr">
        <is>
          <t>Décision (Acceptée / Avec réserves / Refusée)</t>
        </is>
      </c>
      <c r="B9" t="inlineStr"/>
    </row>
    <row r="10">
      <c r="A10" s="2" t="inlineStr">
        <is>
          <t>Réserves</t>
        </is>
      </c>
      <c r="B10" t="inlineStr"/>
    </row>
    <row r="11">
      <c r="A11" s="2" t="inlineStr">
        <is>
          <t>Signature maîtrise d'ouvrage</t>
        </is>
      </c>
      <c r="B11" t="inlineStr"/>
    </row>
    <row r="12">
      <c r="A12" s="2" t="inlineStr">
        <is>
          <t>Signature maîtrise d'œuvre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2026-10-02T07:55:08Z</dcterms:created>
  <dcterms:modified xsi:type="dcterms:W3CDTF">2026-10-02T07:55:08Z</dcterms:modified>
</cp:coreProperties>
</file>